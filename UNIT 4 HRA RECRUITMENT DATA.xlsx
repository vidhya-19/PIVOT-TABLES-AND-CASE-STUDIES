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vidhy\Downloads\"/>
    </mc:Choice>
  </mc:AlternateContent>
  <xr:revisionPtr revIDLastSave="0" documentId="13_ncr:1_{3F5D82FF-6959-49C7-AA9A-03C90E0405B9}" xr6:coauthVersionLast="47" xr6:coauthVersionMax="47" xr10:uidLastSave="{00000000-0000-0000-0000-000000000000}"/>
  <bookViews>
    <workbookView xWindow="-110" yWindow="-110" windowWidth="19420" windowHeight="10300" activeTab="4" xr2:uid="{57C635B5-FCD5-407D-828B-209C3137F92F}"/>
  </bookViews>
  <sheets>
    <sheet name="DEPT" sheetId="2" r:id="rId1"/>
    <sheet name="REQ STS" sheetId="3" r:id="rId2"/>
    <sheet name="SOURCE" sheetId="4" r:id="rId3"/>
    <sheet name="RC" sheetId="6" r:id="rId4"/>
    <sheet name="Sheet7" sheetId="7" r:id="rId5"/>
    <sheet name="data" sheetId="1" r:id="rId6"/>
  </sheets>
  <definedNames>
    <definedName name="Slicer_Department">#N/A</definedName>
    <definedName name="Slicer_RecruitingCostUSD">#N/A</definedName>
    <definedName name="Slicer_RequisitionStatus">#N/A</definedName>
    <definedName name="Slicer_SourceChannel">#N/A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61" i="1" l="1"/>
  <c r="O161" i="1"/>
  <c r="P160" i="1"/>
  <c r="O160" i="1"/>
  <c r="P159" i="1"/>
  <c r="O159" i="1"/>
  <c r="P158" i="1"/>
  <c r="O158" i="1"/>
  <c r="P157" i="1"/>
  <c r="O157" i="1"/>
  <c r="P156" i="1"/>
  <c r="O156" i="1"/>
  <c r="P155" i="1"/>
  <c r="O155" i="1"/>
  <c r="P154" i="1"/>
  <c r="O154" i="1"/>
  <c r="P153" i="1"/>
  <c r="O153" i="1"/>
  <c r="P152" i="1"/>
  <c r="O152" i="1"/>
  <c r="P151" i="1"/>
  <c r="O151" i="1"/>
  <c r="P150" i="1"/>
  <c r="O150" i="1"/>
  <c r="P149" i="1"/>
  <c r="O149" i="1"/>
  <c r="P148" i="1"/>
  <c r="O148" i="1"/>
  <c r="P147" i="1"/>
  <c r="O147" i="1"/>
  <c r="P146" i="1"/>
  <c r="O146" i="1"/>
  <c r="P145" i="1"/>
  <c r="O145" i="1"/>
  <c r="P144" i="1"/>
  <c r="O144" i="1"/>
  <c r="P143" i="1"/>
  <c r="O143" i="1"/>
  <c r="P142" i="1"/>
  <c r="O142" i="1"/>
  <c r="P141" i="1"/>
  <c r="O141" i="1"/>
  <c r="P140" i="1"/>
  <c r="O140" i="1"/>
  <c r="P139" i="1"/>
  <c r="O139" i="1"/>
  <c r="P138" i="1"/>
  <c r="O138" i="1"/>
  <c r="P137" i="1"/>
  <c r="O137" i="1"/>
  <c r="P136" i="1"/>
  <c r="O136" i="1"/>
  <c r="P135" i="1"/>
  <c r="O135" i="1"/>
  <c r="P134" i="1"/>
  <c r="O134" i="1"/>
  <c r="P133" i="1"/>
  <c r="O133" i="1"/>
  <c r="P132" i="1"/>
  <c r="O132" i="1"/>
  <c r="P131" i="1"/>
  <c r="O131" i="1"/>
  <c r="P130" i="1"/>
  <c r="O130" i="1"/>
  <c r="P129" i="1"/>
  <c r="O129" i="1"/>
  <c r="P128" i="1"/>
  <c r="O128" i="1"/>
  <c r="P127" i="1"/>
  <c r="O127" i="1"/>
  <c r="P126" i="1"/>
  <c r="O126" i="1"/>
  <c r="P125" i="1"/>
  <c r="O125" i="1"/>
  <c r="P124" i="1"/>
  <c r="O124" i="1"/>
  <c r="P123" i="1"/>
  <c r="O123" i="1"/>
  <c r="P122" i="1"/>
  <c r="O122" i="1"/>
  <c r="P121" i="1"/>
  <c r="O121" i="1"/>
  <c r="P120" i="1"/>
  <c r="O120" i="1"/>
  <c r="P119" i="1"/>
  <c r="O119" i="1"/>
  <c r="P118" i="1"/>
  <c r="O118" i="1"/>
  <c r="P117" i="1"/>
  <c r="O117" i="1"/>
  <c r="P116" i="1"/>
  <c r="O116" i="1"/>
  <c r="P115" i="1"/>
  <c r="O115" i="1"/>
  <c r="P114" i="1"/>
  <c r="O114" i="1"/>
  <c r="P113" i="1"/>
  <c r="O113" i="1"/>
  <c r="P112" i="1"/>
  <c r="O112" i="1"/>
  <c r="P111" i="1"/>
  <c r="O111" i="1"/>
  <c r="P110" i="1"/>
  <c r="O110" i="1"/>
  <c r="P109" i="1"/>
  <c r="O109" i="1"/>
  <c r="P108" i="1"/>
  <c r="O108" i="1"/>
  <c r="P107" i="1"/>
  <c r="O107" i="1"/>
  <c r="P106" i="1"/>
  <c r="O106" i="1"/>
  <c r="P105" i="1"/>
  <c r="O105" i="1"/>
  <c r="P104" i="1"/>
  <c r="O104" i="1"/>
  <c r="P103" i="1"/>
  <c r="O103" i="1"/>
  <c r="P102" i="1"/>
  <c r="O102" i="1"/>
  <c r="P101" i="1"/>
  <c r="O101" i="1"/>
  <c r="P100" i="1"/>
  <c r="O100" i="1"/>
  <c r="P99" i="1"/>
  <c r="O99" i="1"/>
  <c r="P98" i="1"/>
  <c r="O98" i="1"/>
  <c r="P97" i="1"/>
  <c r="O97" i="1"/>
  <c r="P96" i="1"/>
  <c r="O96" i="1"/>
  <c r="P95" i="1"/>
  <c r="O95" i="1"/>
  <c r="P94" i="1"/>
  <c r="O94" i="1"/>
  <c r="P93" i="1"/>
  <c r="O93" i="1"/>
  <c r="P92" i="1"/>
  <c r="O92" i="1"/>
  <c r="P91" i="1"/>
  <c r="O91" i="1"/>
  <c r="P90" i="1"/>
  <c r="O90" i="1"/>
  <c r="P89" i="1"/>
  <c r="O89" i="1"/>
  <c r="P88" i="1"/>
  <c r="O88" i="1"/>
  <c r="P87" i="1"/>
  <c r="O87" i="1"/>
  <c r="P86" i="1"/>
  <c r="O86" i="1"/>
  <c r="P85" i="1"/>
  <c r="O85" i="1"/>
  <c r="P84" i="1"/>
  <c r="O84" i="1"/>
  <c r="P83" i="1"/>
  <c r="O83" i="1"/>
  <c r="P82" i="1"/>
  <c r="O82" i="1"/>
  <c r="P81" i="1"/>
  <c r="O81" i="1"/>
  <c r="P80" i="1"/>
  <c r="O80" i="1"/>
  <c r="P79" i="1"/>
  <c r="O79" i="1"/>
  <c r="P78" i="1"/>
  <c r="O78" i="1"/>
  <c r="P77" i="1"/>
  <c r="O77" i="1"/>
  <c r="P76" i="1"/>
  <c r="O76" i="1"/>
  <c r="P75" i="1"/>
  <c r="O75" i="1"/>
  <c r="P74" i="1"/>
  <c r="O74" i="1"/>
  <c r="P73" i="1"/>
  <c r="O73" i="1"/>
  <c r="P72" i="1"/>
  <c r="O72" i="1"/>
  <c r="P71" i="1"/>
  <c r="O71" i="1"/>
  <c r="P70" i="1"/>
  <c r="O70" i="1"/>
  <c r="P69" i="1"/>
  <c r="O69" i="1"/>
  <c r="P68" i="1"/>
  <c r="O68" i="1"/>
  <c r="P67" i="1"/>
  <c r="O67" i="1"/>
  <c r="P66" i="1"/>
  <c r="O66" i="1"/>
  <c r="P65" i="1"/>
  <c r="O65" i="1"/>
  <c r="P64" i="1"/>
  <c r="O64" i="1"/>
  <c r="P63" i="1"/>
  <c r="O63" i="1"/>
  <c r="P62" i="1"/>
  <c r="O62" i="1"/>
  <c r="P61" i="1"/>
  <c r="O61" i="1"/>
  <c r="P60" i="1"/>
  <c r="O60" i="1"/>
  <c r="P59" i="1"/>
  <c r="O59" i="1"/>
  <c r="P58" i="1"/>
  <c r="O58" i="1"/>
  <c r="P57" i="1"/>
  <c r="O57" i="1"/>
  <c r="P56" i="1"/>
  <c r="O56" i="1"/>
  <c r="P55" i="1"/>
  <c r="O55" i="1"/>
  <c r="P54" i="1"/>
  <c r="O54" i="1"/>
  <c r="P53" i="1"/>
  <c r="O53" i="1"/>
  <c r="P52" i="1"/>
  <c r="O52" i="1"/>
  <c r="P51" i="1"/>
  <c r="O51" i="1"/>
  <c r="P50" i="1"/>
  <c r="O50" i="1"/>
  <c r="P49" i="1"/>
  <c r="O49" i="1"/>
  <c r="P48" i="1"/>
  <c r="O48" i="1"/>
  <c r="P47" i="1"/>
  <c r="O47" i="1"/>
  <c r="P46" i="1"/>
  <c r="O46" i="1"/>
  <c r="P45" i="1"/>
  <c r="O45" i="1"/>
  <c r="P44" i="1"/>
  <c r="O44" i="1"/>
  <c r="P43" i="1"/>
  <c r="O43" i="1"/>
  <c r="P42" i="1"/>
  <c r="O42" i="1"/>
  <c r="P41" i="1"/>
  <c r="O41" i="1"/>
  <c r="P40" i="1"/>
  <c r="O40" i="1"/>
  <c r="P39" i="1"/>
  <c r="O39" i="1"/>
  <c r="P38" i="1"/>
  <c r="O38" i="1"/>
  <c r="P37" i="1"/>
  <c r="O37" i="1"/>
  <c r="P36" i="1"/>
  <c r="O36" i="1"/>
  <c r="P35" i="1"/>
  <c r="O35" i="1"/>
  <c r="P34" i="1"/>
  <c r="O34" i="1"/>
  <c r="P33" i="1"/>
  <c r="O33" i="1"/>
  <c r="P32" i="1"/>
  <c r="O32" i="1"/>
  <c r="P31" i="1"/>
  <c r="O31" i="1"/>
  <c r="P30" i="1"/>
  <c r="O30" i="1"/>
  <c r="P29" i="1"/>
  <c r="O29" i="1"/>
  <c r="P28" i="1"/>
  <c r="O28" i="1"/>
  <c r="P27" i="1"/>
  <c r="O27" i="1"/>
  <c r="P26" i="1"/>
  <c r="O26" i="1"/>
  <c r="P25" i="1"/>
  <c r="O25" i="1"/>
  <c r="P24" i="1"/>
  <c r="O24" i="1"/>
  <c r="P23" i="1"/>
  <c r="O23" i="1"/>
  <c r="P22" i="1"/>
  <c r="O22" i="1"/>
  <c r="P21" i="1"/>
  <c r="O21" i="1"/>
  <c r="P20" i="1"/>
  <c r="O20" i="1"/>
  <c r="P19" i="1"/>
  <c r="O19" i="1"/>
  <c r="P18" i="1"/>
  <c r="O18" i="1"/>
  <c r="P17" i="1"/>
  <c r="O17" i="1"/>
  <c r="P16" i="1"/>
  <c r="O16" i="1"/>
  <c r="P15" i="1"/>
  <c r="O15" i="1"/>
  <c r="P14" i="1"/>
  <c r="O14" i="1"/>
  <c r="P13" i="1"/>
  <c r="O13" i="1"/>
  <c r="P12" i="1"/>
  <c r="O12" i="1"/>
  <c r="P11" i="1"/>
  <c r="O11" i="1"/>
  <c r="P10" i="1"/>
  <c r="O10" i="1"/>
  <c r="P9" i="1"/>
  <c r="O9" i="1"/>
  <c r="P8" i="1"/>
  <c r="O8" i="1"/>
  <c r="P7" i="1"/>
  <c r="O7" i="1"/>
  <c r="P6" i="1"/>
  <c r="O6" i="1"/>
  <c r="P5" i="1"/>
  <c r="O5" i="1"/>
  <c r="P4" i="1"/>
  <c r="O4" i="1"/>
  <c r="P3" i="1"/>
  <c r="O3" i="1"/>
  <c r="P2" i="1"/>
  <c r="O2" i="1"/>
</calcChain>
</file>

<file path=xl/sharedStrings.xml><?xml version="1.0" encoding="utf-8"?>
<sst xmlns="http://schemas.openxmlformats.org/spreadsheetml/2006/main" count="1028" uniqueCount="288">
  <si>
    <t>RequisitionID</t>
  </si>
  <si>
    <t>Department</t>
  </si>
  <si>
    <t>JobTitle</t>
  </si>
  <si>
    <t>DateOpened</t>
  </si>
  <si>
    <t>DateFilled</t>
  </si>
  <si>
    <t>RequisitionStatus</t>
  </si>
  <si>
    <t>SourceChannel</t>
  </si>
  <si>
    <t>NumApplicants</t>
  </si>
  <si>
    <t>NumInterviewed</t>
  </si>
  <si>
    <t>NumOffersMade</t>
  </si>
  <si>
    <t>NumOffersAccepted</t>
  </si>
  <si>
    <t>RecruitingCostUSD</t>
  </si>
  <si>
    <t>HiringManager</t>
  </si>
  <si>
    <t>CandidateExperienceScore</t>
  </si>
  <si>
    <t>TimeToFillDays</t>
  </si>
  <si>
    <t>CostPerHire</t>
  </si>
  <si>
    <t>REQ5000</t>
  </si>
  <si>
    <t>Human Resources</t>
  </si>
  <si>
    <t>HR Generalist</t>
  </si>
  <si>
    <t>Filled</t>
  </si>
  <si>
    <t>Job Board</t>
  </si>
  <si>
    <t>E1018</t>
  </si>
  <si>
    <t>REQ5001</t>
  </si>
  <si>
    <t>Finance</t>
  </si>
  <si>
    <t>Financial Analyst</t>
  </si>
  <si>
    <t>E1039</t>
  </si>
  <si>
    <t>REQ5002</t>
  </si>
  <si>
    <t>Customer Support</t>
  </si>
  <si>
    <t>Senior Support Agent</t>
  </si>
  <si>
    <t>Open</t>
  </si>
  <si>
    <t>Recruiting Agency</t>
  </si>
  <si>
    <t>E1036</t>
  </si>
  <si>
    <t>REQ5003</t>
  </si>
  <si>
    <t>Product</t>
  </si>
  <si>
    <t>Product Manager</t>
  </si>
  <si>
    <t>Career Site</t>
  </si>
  <si>
    <t>E1020</t>
  </si>
  <si>
    <t>REQ5004</t>
  </si>
  <si>
    <t>Support Team Lead</t>
  </si>
  <si>
    <t>Employee Referral</t>
  </si>
  <si>
    <t>E1038</t>
  </si>
  <si>
    <t>REQ5005</t>
  </si>
  <si>
    <t>Sales</t>
  </si>
  <si>
    <t>Sales Manager</t>
  </si>
  <si>
    <t>E1025</t>
  </si>
  <si>
    <t>REQ5006</t>
  </si>
  <si>
    <t>Director of Product</t>
  </si>
  <si>
    <t>REQ5007</t>
  </si>
  <si>
    <t>IT</t>
  </si>
  <si>
    <t>IT Manager</t>
  </si>
  <si>
    <t>E1063</t>
  </si>
  <si>
    <t>REQ5008</t>
  </si>
  <si>
    <t>Engineering</t>
  </si>
  <si>
    <t>Engineering Manager</t>
  </si>
  <si>
    <t>E1035</t>
  </si>
  <si>
    <t>REQ5009</t>
  </si>
  <si>
    <t>E1024</t>
  </si>
  <si>
    <t>REQ5010</t>
  </si>
  <si>
    <t>Legal</t>
  </si>
  <si>
    <t>Corporate Counsel</t>
  </si>
  <si>
    <t>E1058</t>
  </si>
  <si>
    <t>REQ5011</t>
  </si>
  <si>
    <t>Product Analyst</t>
  </si>
  <si>
    <t>E1051</t>
  </si>
  <si>
    <t>REQ5012</t>
  </si>
  <si>
    <t>Marketing</t>
  </si>
  <si>
    <t>Marketing Specialist</t>
  </si>
  <si>
    <t>E1029</t>
  </si>
  <si>
    <t>REQ5013</t>
  </si>
  <si>
    <t>HR Coordinator</t>
  </si>
  <si>
    <t>E1042</t>
  </si>
  <si>
    <t>REQ5014</t>
  </si>
  <si>
    <t>E1044</t>
  </si>
  <si>
    <t>REQ5015</t>
  </si>
  <si>
    <t>Paralegal</t>
  </si>
  <si>
    <t>LinkedIn</t>
  </si>
  <si>
    <t>E1057</t>
  </si>
  <si>
    <t>REQ5016</t>
  </si>
  <si>
    <t>HR Business Partner</t>
  </si>
  <si>
    <t>REQ5017</t>
  </si>
  <si>
    <t>Engineering Director</t>
  </si>
  <si>
    <t>REQ5018</t>
  </si>
  <si>
    <t>Operations</t>
  </si>
  <si>
    <t>Operations Analyst</t>
  </si>
  <si>
    <t>E1048</t>
  </si>
  <si>
    <t>REQ5019</t>
  </si>
  <si>
    <t>REQ5020</t>
  </si>
  <si>
    <t>Sales Director</t>
  </si>
  <si>
    <t>E1027</t>
  </si>
  <si>
    <t>REQ5021</t>
  </si>
  <si>
    <t>E1043</t>
  </si>
  <si>
    <t>REQ5022</t>
  </si>
  <si>
    <t>REQ5023</t>
  </si>
  <si>
    <t>Senior PM</t>
  </si>
  <si>
    <t>E1053</t>
  </si>
  <si>
    <t>REQ5024</t>
  </si>
  <si>
    <t>E1050</t>
  </si>
  <si>
    <t>REQ5025</t>
  </si>
  <si>
    <t>Finance Manager</t>
  </si>
  <si>
    <t>E1041</t>
  </si>
  <si>
    <t>REQ5026</t>
  </si>
  <si>
    <t>REQ5027</t>
  </si>
  <si>
    <t>Finance Director</t>
  </si>
  <si>
    <t>E1016</t>
  </si>
  <si>
    <t>REQ5028</t>
  </si>
  <si>
    <t>IT Support Specialist</t>
  </si>
  <si>
    <t>E1060</t>
  </si>
  <si>
    <t>REQ5029</t>
  </si>
  <si>
    <t>E1013</t>
  </si>
  <si>
    <t>REQ5030</t>
  </si>
  <si>
    <t>Marketing Manager</t>
  </si>
  <si>
    <t>E1032</t>
  </si>
  <si>
    <t>REQ5031</t>
  </si>
  <si>
    <t>Senior Analyst</t>
  </si>
  <si>
    <t>REQ5032</t>
  </si>
  <si>
    <t>Senior Engineer</t>
  </si>
  <si>
    <t>E1014</t>
  </si>
  <si>
    <t>REQ5033</t>
  </si>
  <si>
    <t>Operations Manager</t>
  </si>
  <si>
    <t>E1049</t>
  </si>
  <si>
    <t>REQ5034</t>
  </si>
  <si>
    <t>REQ5035</t>
  </si>
  <si>
    <t>REQ5036</t>
  </si>
  <si>
    <t>HR Director</t>
  </si>
  <si>
    <t>Cancelled</t>
  </si>
  <si>
    <t>REQ5037</t>
  </si>
  <si>
    <t>Marketing Coordinator</t>
  </si>
  <si>
    <t>REQ5038</t>
  </si>
  <si>
    <t>E1012</t>
  </si>
  <si>
    <t>REQ5039</t>
  </si>
  <si>
    <t>REQ5040</t>
  </si>
  <si>
    <t>Software Engineer</t>
  </si>
  <si>
    <t>E1034</t>
  </si>
  <si>
    <t>REQ5041</t>
  </si>
  <si>
    <t>Systems Administrator</t>
  </si>
  <si>
    <t>REQ5042</t>
  </si>
  <si>
    <t>E1033</t>
  </si>
  <si>
    <t>REQ5043</t>
  </si>
  <si>
    <t>Operations Associate</t>
  </si>
  <si>
    <t>REQ5044</t>
  </si>
  <si>
    <t>REQ5045</t>
  </si>
  <si>
    <t>E1037</t>
  </si>
  <si>
    <t>REQ5046</t>
  </si>
  <si>
    <t>E1017</t>
  </si>
  <si>
    <t>REQ5047</t>
  </si>
  <si>
    <t>REQ5048</t>
  </si>
  <si>
    <t>E1059</t>
  </si>
  <si>
    <t>REQ5049</t>
  </si>
  <si>
    <t>REQ5050</t>
  </si>
  <si>
    <t>REQ5051</t>
  </si>
  <si>
    <t>REQ5052</t>
  </si>
  <si>
    <t>E1062</t>
  </si>
  <si>
    <t>REQ5053</t>
  </si>
  <si>
    <t>REQ5054</t>
  </si>
  <si>
    <t>E1015</t>
  </si>
  <si>
    <t>REQ5055</t>
  </si>
  <si>
    <t>REQ5056</t>
  </si>
  <si>
    <t>E1056</t>
  </si>
  <si>
    <t>REQ5057</t>
  </si>
  <si>
    <t>REQ5058</t>
  </si>
  <si>
    <t>REQ5059</t>
  </si>
  <si>
    <t>REQ5060</t>
  </si>
  <si>
    <t>REQ5061</t>
  </si>
  <si>
    <t>REQ5062</t>
  </si>
  <si>
    <t>Sales Rep</t>
  </si>
  <si>
    <t>E1026</t>
  </si>
  <si>
    <t>REQ5063</t>
  </si>
  <si>
    <t>E1011</t>
  </si>
  <si>
    <t>REQ5064</t>
  </si>
  <si>
    <t>REQ5065</t>
  </si>
  <si>
    <t>REQ5066</t>
  </si>
  <si>
    <t>REQ5067</t>
  </si>
  <si>
    <t>REQ5068</t>
  </si>
  <si>
    <t>REQ5069</t>
  </si>
  <si>
    <t>REQ5070</t>
  </si>
  <si>
    <t>REQ5071</t>
  </si>
  <si>
    <t>Support Agent</t>
  </si>
  <si>
    <t>REQ5072</t>
  </si>
  <si>
    <t>E1028</t>
  </si>
  <si>
    <t>REQ5073</t>
  </si>
  <si>
    <t>E1031</t>
  </si>
  <si>
    <t>REQ5074</t>
  </si>
  <si>
    <t>REQ5075</t>
  </si>
  <si>
    <t>REQ5076</t>
  </si>
  <si>
    <t>E1047</t>
  </si>
  <si>
    <t>REQ5077</t>
  </si>
  <si>
    <t>E1022</t>
  </si>
  <si>
    <t>REQ5078</t>
  </si>
  <si>
    <t>Account Executive</t>
  </si>
  <si>
    <t>REQ5079</t>
  </si>
  <si>
    <t>REQ5080</t>
  </si>
  <si>
    <t>REQ5081</t>
  </si>
  <si>
    <t>E1052</t>
  </si>
  <si>
    <t>REQ5082</t>
  </si>
  <si>
    <t>REQ5083</t>
  </si>
  <si>
    <t>REQ5084</t>
  </si>
  <si>
    <t>REQ5085</t>
  </si>
  <si>
    <t>Marketing Director</t>
  </si>
  <si>
    <t>REQ5086</t>
  </si>
  <si>
    <t>REQ5087</t>
  </si>
  <si>
    <t>REQ5088</t>
  </si>
  <si>
    <t>Operations Director</t>
  </si>
  <si>
    <t>REQ5089</t>
  </si>
  <si>
    <t>E1054</t>
  </si>
  <si>
    <t>REQ5090</t>
  </si>
  <si>
    <t>REQ5091</t>
  </si>
  <si>
    <t>REQ5092</t>
  </si>
  <si>
    <t>REQ5093</t>
  </si>
  <si>
    <t>REQ5094</t>
  </si>
  <si>
    <t>Legal Assistant</t>
  </si>
  <si>
    <t>E1055</t>
  </si>
  <si>
    <t>REQ5095</t>
  </si>
  <si>
    <t>Support Manager</t>
  </si>
  <si>
    <t>REQ5096</t>
  </si>
  <si>
    <t>REQ5097</t>
  </si>
  <si>
    <t>REQ5098</t>
  </si>
  <si>
    <t>REQ5099</t>
  </si>
  <si>
    <t>REQ5100</t>
  </si>
  <si>
    <t>REQ5101</t>
  </si>
  <si>
    <t>REQ5102</t>
  </si>
  <si>
    <t>REQ5103</t>
  </si>
  <si>
    <t>REQ5104</t>
  </si>
  <si>
    <t>REQ5105</t>
  </si>
  <si>
    <t>REQ5106</t>
  </si>
  <si>
    <t>REQ5107</t>
  </si>
  <si>
    <t>REQ5108</t>
  </si>
  <si>
    <t>REQ5109</t>
  </si>
  <si>
    <t>REQ5110</t>
  </si>
  <si>
    <t>REQ5111</t>
  </si>
  <si>
    <t>REQ5112</t>
  </si>
  <si>
    <t>REQ5113</t>
  </si>
  <si>
    <t>REQ5114</t>
  </si>
  <si>
    <t>REQ5115</t>
  </si>
  <si>
    <t>IT Director</t>
  </si>
  <si>
    <t>REQ5116</t>
  </si>
  <si>
    <t>REQ5117</t>
  </si>
  <si>
    <t>REQ5118</t>
  </si>
  <si>
    <t>REQ5119</t>
  </si>
  <si>
    <t>REQ5120</t>
  </si>
  <si>
    <t>REQ5121</t>
  </si>
  <si>
    <t>REQ5122</t>
  </si>
  <si>
    <t>REQ5123</t>
  </si>
  <si>
    <t>REQ5124</t>
  </si>
  <si>
    <t>REQ5125</t>
  </si>
  <si>
    <t>REQ5126</t>
  </si>
  <si>
    <t>REQ5127</t>
  </si>
  <si>
    <t>REQ5128</t>
  </si>
  <si>
    <t>E1040</t>
  </si>
  <si>
    <t>REQ5129</t>
  </si>
  <si>
    <t>REQ5130</t>
  </si>
  <si>
    <t>E1061</t>
  </si>
  <si>
    <t>REQ5131</t>
  </si>
  <si>
    <t>REQ5132</t>
  </si>
  <si>
    <t>REQ5133</t>
  </si>
  <si>
    <t>REQ5134</t>
  </si>
  <si>
    <t>REQ5135</t>
  </si>
  <si>
    <t>E1030</t>
  </si>
  <si>
    <t>REQ5136</t>
  </si>
  <si>
    <t>REQ5137</t>
  </si>
  <si>
    <t>REQ5138</t>
  </si>
  <si>
    <t>REQ5139</t>
  </si>
  <si>
    <t>REQ5140</t>
  </si>
  <si>
    <t>REQ5141</t>
  </si>
  <si>
    <t>REQ5142</t>
  </si>
  <si>
    <t>Legal Director</t>
  </si>
  <si>
    <t>REQ5143</t>
  </si>
  <si>
    <t>REQ5144</t>
  </si>
  <si>
    <t>REQ5145</t>
  </si>
  <si>
    <t>REQ5146</t>
  </si>
  <si>
    <t>REQ5147</t>
  </si>
  <si>
    <t>REQ5148</t>
  </si>
  <si>
    <t>REQ5149</t>
  </si>
  <si>
    <t>REQ5150</t>
  </si>
  <si>
    <t>REQ5151</t>
  </si>
  <si>
    <t>REQ5152</t>
  </si>
  <si>
    <t>E1019</t>
  </si>
  <si>
    <t>REQ5153</t>
  </si>
  <si>
    <t>REQ5154</t>
  </si>
  <si>
    <t>REQ5155</t>
  </si>
  <si>
    <t>REQ5156</t>
  </si>
  <si>
    <t>REQ5157</t>
  </si>
  <si>
    <t>REQ5158</t>
  </si>
  <si>
    <t>REQ5159</t>
  </si>
  <si>
    <t>Row Labels</t>
  </si>
  <si>
    <t>Grand Total</t>
  </si>
  <si>
    <t>Count of RequisitionID</t>
  </si>
  <si>
    <t>Column Labels</t>
  </si>
  <si>
    <t>Sum of RecruitingCostUSD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</si>
</sst>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
  </numFmts>
  <fonts count="3" x14ac:knownFonts="1">
    <font>
      <sz val="11"/>
      <color theme="1"/>
      <name val="Calibri"/>
      <family val="2"/>
      <scheme val="minor"/>
    </font>
    <font>
      <b/>
      <sz val="10"/>
      <color rgb="FFFFFFFF"/>
      <name val="Arial"/>
      <family val="2"/>
    </font>
    <font>
      <sz val="10"/>
      <name val="Arial"/>
      <family val="2"/>
    </font>
  </fonts>
  <fills count="4">
    <fill>
      <patternFill patternType="none"/>
    </fill>
    <fill>
      <patternFill patternType="gray125"/>
    </fill>
    <fill>
      <patternFill patternType="solid">
        <fgColor rgb="FF1F4E78"/>
        <bgColor rgb="FF003366"/>
      </patternFill>
    </fill>
    <fill>
      <patternFill patternType="solid">
        <fgColor rgb="FF7F6000"/>
        <bgColor rgb="FF595959"/>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center"/>
    </xf>
    <xf numFmtId="0" fontId="1" fillId="3" borderId="0" xfId="0" applyFont="1" applyFill="1" applyAlignment="1">
      <alignment horizontal="center"/>
    </xf>
    <xf numFmtId="0" fontId="2" fillId="0" borderId="0" xfId="0" applyFont="1"/>
    <xf numFmtId="164" fontId="2" fillId="0" borderId="0" xfId="0" applyNumberFormat="1" applyFont="1"/>
    <xf numFmtId="165" fontId="2" fillId="0" borderId="0" xfId="0" applyNumberFormat="1" applyFont="1"/>
    <xf numFmtId="1" fontId="2" fillId="0" borderId="0" xfId="0" applyNumberFormat="1" applyFon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[UNIT 4 HRA RECRUITMENT DATA.xlsx]DEPT!PivotTable1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DEPT</a:t>
            </a:r>
            <a:r>
              <a:rPr lang="en-US" baseline="0"/>
              <a:t> TOTAL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031597663195327E-2"/>
          <c:y val="0.18300925925925926"/>
          <c:w val="0.8513347218694437"/>
          <c:h val="0.50554498396033831"/>
        </c:manualLayout>
      </c:layout>
      <c:barChart>
        <c:barDir val="col"/>
        <c:grouping val="clustered"/>
        <c:varyColors val="0"/>
        <c:ser>
          <c:idx val="0"/>
          <c:order val="0"/>
          <c:tx>
            <c:strRef>
              <c:f>DEPT!$B$3</c:f>
              <c:strCache>
                <c:ptCount val="1"/>
                <c:pt idx="0">
                  <c:v>Total</c:v>
                </c:pt>
              </c:strCache>
            </c:strRef>
          </c:tx>
          <c:spPr>
            <a:solidFill>
              <a:srgbClr val="C0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DEPT!$A$4:$A$14</c:f>
              <c:strCache>
                <c:ptCount val="10"/>
                <c:pt idx="0">
                  <c:v>Customer Support</c:v>
                </c:pt>
                <c:pt idx="1">
                  <c:v>Engineering</c:v>
                </c:pt>
                <c:pt idx="2">
                  <c:v>Finance</c:v>
                </c:pt>
                <c:pt idx="3">
                  <c:v>Human Resources</c:v>
                </c:pt>
                <c:pt idx="4">
                  <c:v>IT</c:v>
                </c:pt>
                <c:pt idx="5">
                  <c:v>Legal</c:v>
                </c:pt>
                <c:pt idx="6">
                  <c:v>Marketing</c:v>
                </c:pt>
                <c:pt idx="7">
                  <c:v>Operations</c:v>
                </c:pt>
                <c:pt idx="8">
                  <c:v>Product</c:v>
                </c:pt>
                <c:pt idx="9">
                  <c:v>Sales</c:v>
                </c:pt>
              </c:strCache>
            </c:strRef>
          </c:cat>
          <c:val>
            <c:numRef>
              <c:f>DEPT!$B$4:$B$14</c:f>
              <c:numCache>
                <c:formatCode>General</c:formatCode>
                <c:ptCount val="10"/>
                <c:pt idx="0">
                  <c:v>16</c:v>
                </c:pt>
                <c:pt idx="1">
                  <c:v>18</c:v>
                </c:pt>
                <c:pt idx="2">
                  <c:v>10</c:v>
                </c:pt>
                <c:pt idx="3">
                  <c:v>16</c:v>
                </c:pt>
                <c:pt idx="4">
                  <c:v>15</c:v>
                </c:pt>
                <c:pt idx="5">
                  <c:v>12</c:v>
                </c:pt>
                <c:pt idx="6">
                  <c:v>18</c:v>
                </c:pt>
                <c:pt idx="7">
                  <c:v>18</c:v>
                </c:pt>
                <c:pt idx="8">
                  <c:v>20</c:v>
                </c:pt>
                <c:pt idx="9">
                  <c:v>17</c:v>
                </c:pt>
              </c:numCache>
            </c:numRef>
          </c:val>
          <c:extLst>
            <c:ext xmlns:c16="http://schemas.microsoft.com/office/drawing/2014/chart" uri="{C3380CC4-5D6E-409C-BE32-E72D297353CC}">
              <c16:uniqueId val="{00000000-6A4F-4609-B9AB-850DA210C670}"/>
            </c:ext>
          </c:extLst>
        </c:ser>
        <c:dLbls>
          <c:showLegendKey val="0"/>
          <c:showVal val="0"/>
          <c:showCatName val="0"/>
          <c:showSerName val="0"/>
          <c:showPercent val="0"/>
          <c:showBubbleSize val="0"/>
        </c:dLbls>
        <c:gapWidth val="100"/>
        <c:overlap val="-24"/>
        <c:axId val="1581943439"/>
        <c:axId val="1581945839"/>
      </c:barChart>
      <c:catAx>
        <c:axId val="15819434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1945839"/>
        <c:crosses val="autoZero"/>
        <c:auto val="1"/>
        <c:lblAlgn val="ctr"/>
        <c:lblOffset val="100"/>
        <c:noMultiLvlLbl val="0"/>
      </c:catAx>
      <c:valAx>
        <c:axId val="1581945839"/>
        <c:scaling>
          <c:orientation val="minMax"/>
        </c:scaling>
        <c:delete val="1"/>
        <c:axPos val="l"/>
        <c:numFmt formatCode="General" sourceLinked="1"/>
        <c:majorTickMark val="none"/>
        <c:minorTickMark val="none"/>
        <c:tickLblPos val="nextTo"/>
        <c:crossAx val="1581943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[UNIT 4 HRA RECRUITMENT DATA.xlsx]REQ STS!PivotTable2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REQUISTION</a:t>
            </a:r>
            <a:r>
              <a:rPr lang="en-US" baseline="0"/>
              <a:t> STATUS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'REQ STS'!$B$3</c:f>
              <c:strCache>
                <c:ptCount val="1"/>
                <c:pt idx="0">
                  <c:v>Total</c:v>
                </c:pt>
              </c:strCache>
            </c:strRef>
          </c:tx>
          <c:spPr>
            <a:solidFill>
              <a:srgbClr val="C0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'REQ STS'!$A$4:$A$7</c:f>
              <c:strCache>
                <c:ptCount val="3"/>
                <c:pt idx="0">
                  <c:v>Cancelled</c:v>
                </c:pt>
                <c:pt idx="1">
                  <c:v>Filled</c:v>
                </c:pt>
                <c:pt idx="2">
                  <c:v>Open</c:v>
                </c:pt>
              </c:strCache>
            </c:strRef>
          </c:cat>
          <c:val>
            <c:numRef>
              <c:f>'REQ STS'!$B$4:$B$7</c:f>
              <c:numCache>
                <c:formatCode>General</c:formatCode>
                <c:ptCount val="3"/>
                <c:pt idx="0">
                  <c:v>5</c:v>
                </c:pt>
                <c:pt idx="1">
                  <c:v>104</c:v>
                </c:pt>
                <c:pt idx="2">
                  <c:v>51</c:v>
                </c:pt>
              </c:numCache>
            </c:numRef>
          </c:val>
          <c:extLst>
            <c:ext xmlns:c16="http://schemas.microsoft.com/office/drawing/2014/chart" uri="{C3380CC4-5D6E-409C-BE32-E72D297353CC}">
              <c16:uniqueId val="{00000000-C625-418D-9690-5E620476E8D7}"/>
            </c:ext>
          </c:extLst>
        </c:ser>
        <c:dLbls>
          <c:showLegendKey val="0"/>
          <c:showVal val="0"/>
          <c:showCatName val="0"/>
          <c:showSerName val="0"/>
          <c:showPercent val="0"/>
          <c:showBubbleSize val="0"/>
        </c:dLbls>
        <c:gapWidth val="115"/>
        <c:overlap val="-20"/>
        <c:axId val="1581966479"/>
        <c:axId val="1581967439"/>
      </c:barChart>
      <c:catAx>
        <c:axId val="158196647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1967439"/>
        <c:crosses val="autoZero"/>
        <c:auto val="1"/>
        <c:lblAlgn val="ctr"/>
        <c:lblOffset val="100"/>
        <c:noMultiLvlLbl val="0"/>
      </c:catAx>
      <c:valAx>
        <c:axId val="15819674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1966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[UNIT 4 HRA RECRUITMENT DATA.xlsx]SOURCE!PivotTable3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SOURCES</a:t>
            </a:r>
            <a:r>
              <a:rPr lang="en-IN" baseline="0"/>
              <a:t> </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SOURCE!$B$3:$B$4</c:f>
              <c:strCache>
                <c:ptCount val="1"/>
                <c:pt idx="0">
                  <c:v>Customer Support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SOURCE!$A$5:$A$10</c:f>
              <c:strCache>
                <c:ptCount val="5"/>
                <c:pt idx="0">
                  <c:v>Career Site</c:v>
                </c:pt>
                <c:pt idx="1">
                  <c:v>Employee Referral</c:v>
                </c:pt>
                <c:pt idx="2">
                  <c:v>Job Board</c:v>
                </c:pt>
                <c:pt idx="3">
                  <c:v>LinkedIn</c:v>
                </c:pt>
                <c:pt idx="4">
                  <c:v>Recruiting Agency</c:v>
                </c:pt>
              </c:strCache>
            </c:strRef>
          </c:cat>
          <c:val>
            <c:numRef>
              <c:f>SOURCE!$B$5:$B$10</c:f>
              <c:numCache>
                <c:formatCode>General</c:formatCode>
                <c:ptCount val="5"/>
                <c:pt idx="0">
                  <c:v>3</c:v>
                </c:pt>
                <c:pt idx="1">
                  <c:v>7</c:v>
                </c:pt>
                <c:pt idx="2">
                  <c:v>1</c:v>
                </c:pt>
                <c:pt idx="3">
                  <c:v>2</c:v>
                </c:pt>
                <c:pt idx="4">
                  <c:v>3</c:v>
                </c:pt>
              </c:numCache>
            </c:numRef>
          </c:val>
          <c:extLst>
            <c:ext xmlns:c16="http://schemas.microsoft.com/office/drawing/2014/chart" uri="{C3380CC4-5D6E-409C-BE32-E72D297353CC}">
              <c16:uniqueId val="{00000000-7972-4A22-B721-307BBBB2EBB7}"/>
            </c:ext>
          </c:extLst>
        </c:ser>
        <c:ser>
          <c:idx val="1"/>
          <c:order val="1"/>
          <c:tx>
            <c:strRef>
              <c:f>SOURCE!$C$3:$C$4</c:f>
              <c:strCache>
                <c:ptCount val="1"/>
                <c:pt idx="0">
                  <c:v>Engineering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SOURCE!$A$5:$A$10</c:f>
              <c:strCache>
                <c:ptCount val="5"/>
                <c:pt idx="0">
                  <c:v>Career Site</c:v>
                </c:pt>
                <c:pt idx="1">
                  <c:v>Employee Referral</c:v>
                </c:pt>
                <c:pt idx="2">
                  <c:v>Job Board</c:v>
                </c:pt>
                <c:pt idx="3">
                  <c:v>LinkedIn</c:v>
                </c:pt>
                <c:pt idx="4">
                  <c:v>Recruiting Agency</c:v>
                </c:pt>
              </c:strCache>
            </c:strRef>
          </c:cat>
          <c:val>
            <c:numRef>
              <c:f>SOURCE!$C$5:$C$10</c:f>
              <c:numCache>
                <c:formatCode>General</c:formatCode>
                <c:ptCount val="5"/>
                <c:pt idx="0">
                  <c:v>2</c:v>
                </c:pt>
                <c:pt idx="1">
                  <c:v>3</c:v>
                </c:pt>
                <c:pt idx="2">
                  <c:v>6</c:v>
                </c:pt>
                <c:pt idx="4">
                  <c:v>7</c:v>
                </c:pt>
              </c:numCache>
            </c:numRef>
          </c:val>
          <c:extLst>
            <c:ext xmlns:c16="http://schemas.microsoft.com/office/drawing/2014/chart" uri="{C3380CC4-5D6E-409C-BE32-E72D297353CC}">
              <c16:uniqueId val="{00000000-5659-42A0-B981-536825A47E8C}"/>
            </c:ext>
          </c:extLst>
        </c:ser>
        <c:ser>
          <c:idx val="2"/>
          <c:order val="2"/>
          <c:tx>
            <c:strRef>
              <c:f>SOURCE!$D$3:$D$4</c:f>
              <c:strCache>
                <c:ptCount val="1"/>
                <c:pt idx="0">
                  <c:v>Finance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SOURCE!$A$5:$A$10</c:f>
              <c:strCache>
                <c:ptCount val="5"/>
                <c:pt idx="0">
                  <c:v>Career Site</c:v>
                </c:pt>
                <c:pt idx="1">
                  <c:v>Employee Referral</c:v>
                </c:pt>
                <c:pt idx="2">
                  <c:v>Job Board</c:v>
                </c:pt>
                <c:pt idx="3">
                  <c:v>LinkedIn</c:v>
                </c:pt>
                <c:pt idx="4">
                  <c:v>Recruiting Agency</c:v>
                </c:pt>
              </c:strCache>
            </c:strRef>
          </c:cat>
          <c:val>
            <c:numRef>
              <c:f>SOURCE!$D$5:$D$10</c:f>
              <c:numCache>
                <c:formatCode>General</c:formatCode>
                <c:ptCount val="5"/>
                <c:pt idx="0">
                  <c:v>2</c:v>
                </c:pt>
                <c:pt idx="1">
                  <c:v>2</c:v>
                </c:pt>
                <c:pt idx="2">
                  <c:v>3</c:v>
                </c:pt>
                <c:pt idx="3">
                  <c:v>2</c:v>
                </c:pt>
                <c:pt idx="4">
                  <c:v>1</c:v>
                </c:pt>
              </c:numCache>
            </c:numRef>
          </c:val>
          <c:extLst>
            <c:ext xmlns:c16="http://schemas.microsoft.com/office/drawing/2014/chart" uri="{C3380CC4-5D6E-409C-BE32-E72D297353CC}">
              <c16:uniqueId val="{00000001-5659-42A0-B981-536825A47E8C}"/>
            </c:ext>
          </c:extLst>
        </c:ser>
        <c:ser>
          <c:idx val="3"/>
          <c:order val="3"/>
          <c:tx>
            <c:strRef>
              <c:f>SOURCE!$E$3:$E$4</c:f>
              <c:strCache>
                <c:ptCount val="1"/>
                <c:pt idx="0">
                  <c:v>Human Resources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SOURCE!$A$5:$A$10</c:f>
              <c:strCache>
                <c:ptCount val="5"/>
                <c:pt idx="0">
                  <c:v>Career Site</c:v>
                </c:pt>
                <c:pt idx="1">
                  <c:v>Employee Referral</c:v>
                </c:pt>
                <c:pt idx="2">
                  <c:v>Job Board</c:v>
                </c:pt>
                <c:pt idx="3">
                  <c:v>LinkedIn</c:v>
                </c:pt>
                <c:pt idx="4">
                  <c:v>Recruiting Agency</c:v>
                </c:pt>
              </c:strCache>
            </c:strRef>
          </c:cat>
          <c:val>
            <c:numRef>
              <c:f>SOURCE!$E$5:$E$10</c:f>
              <c:numCache>
                <c:formatCode>General</c:formatCode>
                <c:ptCount val="5"/>
                <c:pt idx="1">
                  <c:v>7</c:v>
                </c:pt>
                <c:pt idx="2">
                  <c:v>6</c:v>
                </c:pt>
                <c:pt idx="3">
                  <c:v>2</c:v>
                </c:pt>
                <c:pt idx="4">
                  <c:v>1</c:v>
                </c:pt>
              </c:numCache>
            </c:numRef>
          </c:val>
          <c:extLst>
            <c:ext xmlns:c16="http://schemas.microsoft.com/office/drawing/2014/chart" uri="{C3380CC4-5D6E-409C-BE32-E72D297353CC}">
              <c16:uniqueId val="{00000002-5659-42A0-B981-536825A47E8C}"/>
            </c:ext>
          </c:extLst>
        </c:ser>
        <c:ser>
          <c:idx val="4"/>
          <c:order val="4"/>
          <c:tx>
            <c:strRef>
              <c:f>SOURCE!$F$3:$F$4</c:f>
              <c:strCache>
                <c:ptCount val="1"/>
                <c:pt idx="0">
                  <c:v>IT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SOURCE!$A$5:$A$10</c:f>
              <c:strCache>
                <c:ptCount val="5"/>
                <c:pt idx="0">
                  <c:v>Career Site</c:v>
                </c:pt>
                <c:pt idx="1">
                  <c:v>Employee Referral</c:v>
                </c:pt>
                <c:pt idx="2">
                  <c:v>Job Board</c:v>
                </c:pt>
                <c:pt idx="3">
                  <c:v>LinkedIn</c:v>
                </c:pt>
                <c:pt idx="4">
                  <c:v>Recruiting Agency</c:v>
                </c:pt>
              </c:strCache>
            </c:strRef>
          </c:cat>
          <c:val>
            <c:numRef>
              <c:f>SOURCE!$F$5:$F$10</c:f>
              <c:numCache>
                <c:formatCode>General</c:formatCode>
                <c:ptCount val="5"/>
                <c:pt idx="0">
                  <c:v>2</c:v>
                </c:pt>
                <c:pt idx="1">
                  <c:v>2</c:v>
                </c:pt>
                <c:pt idx="2">
                  <c:v>4</c:v>
                </c:pt>
                <c:pt idx="3">
                  <c:v>3</c:v>
                </c:pt>
                <c:pt idx="4">
                  <c:v>4</c:v>
                </c:pt>
              </c:numCache>
            </c:numRef>
          </c:val>
          <c:extLst>
            <c:ext xmlns:c16="http://schemas.microsoft.com/office/drawing/2014/chart" uri="{C3380CC4-5D6E-409C-BE32-E72D297353CC}">
              <c16:uniqueId val="{00000003-5659-42A0-B981-536825A47E8C}"/>
            </c:ext>
          </c:extLst>
        </c:ser>
        <c:ser>
          <c:idx val="5"/>
          <c:order val="5"/>
          <c:tx>
            <c:strRef>
              <c:f>SOURCE!$G$3:$G$4</c:f>
              <c:strCache>
                <c:ptCount val="1"/>
                <c:pt idx="0">
                  <c:v>Legal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SOURCE!$A$5:$A$10</c:f>
              <c:strCache>
                <c:ptCount val="5"/>
                <c:pt idx="0">
                  <c:v>Career Site</c:v>
                </c:pt>
                <c:pt idx="1">
                  <c:v>Employee Referral</c:v>
                </c:pt>
                <c:pt idx="2">
                  <c:v>Job Board</c:v>
                </c:pt>
                <c:pt idx="3">
                  <c:v>LinkedIn</c:v>
                </c:pt>
                <c:pt idx="4">
                  <c:v>Recruiting Agency</c:v>
                </c:pt>
              </c:strCache>
            </c:strRef>
          </c:cat>
          <c:val>
            <c:numRef>
              <c:f>SOURCE!$G$5:$G$10</c:f>
              <c:numCache>
                <c:formatCode>General</c:formatCode>
                <c:ptCount val="5"/>
                <c:pt idx="0">
                  <c:v>3</c:v>
                </c:pt>
                <c:pt idx="1">
                  <c:v>2</c:v>
                </c:pt>
                <c:pt idx="2">
                  <c:v>1</c:v>
                </c:pt>
                <c:pt idx="3">
                  <c:v>4</c:v>
                </c:pt>
                <c:pt idx="4">
                  <c:v>2</c:v>
                </c:pt>
              </c:numCache>
            </c:numRef>
          </c:val>
          <c:extLst>
            <c:ext xmlns:c16="http://schemas.microsoft.com/office/drawing/2014/chart" uri="{C3380CC4-5D6E-409C-BE32-E72D297353CC}">
              <c16:uniqueId val="{00000004-5659-42A0-B981-536825A47E8C}"/>
            </c:ext>
          </c:extLst>
        </c:ser>
        <c:ser>
          <c:idx val="6"/>
          <c:order val="6"/>
          <c:tx>
            <c:strRef>
              <c:f>SOURCE!$H$3:$H$4</c:f>
              <c:strCache>
                <c:ptCount val="1"/>
                <c:pt idx="0">
                  <c:v>Marketing</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SOURCE!$A$5:$A$10</c:f>
              <c:strCache>
                <c:ptCount val="5"/>
                <c:pt idx="0">
                  <c:v>Career Site</c:v>
                </c:pt>
                <c:pt idx="1">
                  <c:v>Employee Referral</c:v>
                </c:pt>
                <c:pt idx="2">
                  <c:v>Job Board</c:v>
                </c:pt>
                <c:pt idx="3">
                  <c:v>LinkedIn</c:v>
                </c:pt>
                <c:pt idx="4">
                  <c:v>Recruiting Agency</c:v>
                </c:pt>
              </c:strCache>
            </c:strRef>
          </c:cat>
          <c:val>
            <c:numRef>
              <c:f>SOURCE!$H$5:$H$10</c:f>
              <c:numCache>
                <c:formatCode>General</c:formatCode>
                <c:ptCount val="5"/>
                <c:pt idx="0">
                  <c:v>3</c:v>
                </c:pt>
                <c:pt idx="1">
                  <c:v>1</c:v>
                </c:pt>
                <c:pt idx="2">
                  <c:v>3</c:v>
                </c:pt>
                <c:pt idx="3">
                  <c:v>7</c:v>
                </c:pt>
                <c:pt idx="4">
                  <c:v>4</c:v>
                </c:pt>
              </c:numCache>
            </c:numRef>
          </c:val>
          <c:extLst>
            <c:ext xmlns:c16="http://schemas.microsoft.com/office/drawing/2014/chart" uri="{C3380CC4-5D6E-409C-BE32-E72D297353CC}">
              <c16:uniqueId val="{00000005-5659-42A0-B981-536825A47E8C}"/>
            </c:ext>
          </c:extLst>
        </c:ser>
        <c:ser>
          <c:idx val="7"/>
          <c:order val="7"/>
          <c:tx>
            <c:strRef>
              <c:f>SOURCE!$I$3:$I$4</c:f>
              <c:strCache>
                <c:ptCount val="1"/>
                <c:pt idx="0">
                  <c:v>Operations</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SOURCE!$A$5:$A$10</c:f>
              <c:strCache>
                <c:ptCount val="5"/>
                <c:pt idx="0">
                  <c:v>Career Site</c:v>
                </c:pt>
                <c:pt idx="1">
                  <c:v>Employee Referral</c:v>
                </c:pt>
                <c:pt idx="2">
                  <c:v>Job Board</c:v>
                </c:pt>
                <c:pt idx="3">
                  <c:v>LinkedIn</c:v>
                </c:pt>
                <c:pt idx="4">
                  <c:v>Recruiting Agency</c:v>
                </c:pt>
              </c:strCache>
            </c:strRef>
          </c:cat>
          <c:val>
            <c:numRef>
              <c:f>SOURCE!$I$5:$I$10</c:f>
              <c:numCache>
                <c:formatCode>General</c:formatCode>
                <c:ptCount val="5"/>
                <c:pt idx="0">
                  <c:v>4</c:v>
                </c:pt>
                <c:pt idx="1">
                  <c:v>3</c:v>
                </c:pt>
                <c:pt idx="2">
                  <c:v>2</c:v>
                </c:pt>
                <c:pt idx="3">
                  <c:v>5</c:v>
                </c:pt>
                <c:pt idx="4">
                  <c:v>4</c:v>
                </c:pt>
              </c:numCache>
            </c:numRef>
          </c:val>
          <c:extLst>
            <c:ext xmlns:c16="http://schemas.microsoft.com/office/drawing/2014/chart" uri="{C3380CC4-5D6E-409C-BE32-E72D297353CC}">
              <c16:uniqueId val="{00000006-5659-42A0-B981-536825A47E8C}"/>
            </c:ext>
          </c:extLst>
        </c:ser>
        <c:ser>
          <c:idx val="8"/>
          <c:order val="8"/>
          <c:tx>
            <c:strRef>
              <c:f>SOURCE!$J$3:$J$4</c:f>
              <c:strCache>
                <c:ptCount val="1"/>
                <c:pt idx="0">
                  <c:v>Product</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SOURCE!$A$5:$A$10</c:f>
              <c:strCache>
                <c:ptCount val="5"/>
                <c:pt idx="0">
                  <c:v>Career Site</c:v>
                </c:pt>
                <c:pt idx="1">
                  <c:v>Employee Referral</c:v>
                </c:pt>
                <c:pt idx="2">
                  <c:v>Job Board</c:v>
                </c:pt>
                <c:pt idx="3">
                  <c:v>LinkedIn</c:v>
                </c:pt>
                <c:pt idx="4">
                  <c:v>Recruiting Agency</c:v>
                </c:pt>
              </c:strCache>
            </c:strRef>
          </c:cat>
          <c:val>
            <c:numRef>
              <c:f>SOURCE!$J$5:$J$10</c:f>
              <c:numCache>
                <c:formatCode>General</c:formatCode>
                <c:ptCount val="5"/>
                <c:pt idx="0">
                  <c:v>5</c:v>
                </c:pt>
                <c:pt idx="1">
                  <c:v>4</c:v>
                </c:pt>
                <c:pt idx="2">
                  <c:v>6</c:v>
                </c:pt>
                <c:pt idx="3">
                  <c:v>1</c:v>
                </c:pt>
                <c:pt idx="4">
                  <c:v>4</c:v>
                </c:pt>
              </c:numCache>
            </c:numRef>
          </c:val>
          <c:extLst>
            <c:ext xmlns:c16="http://schemas.microsoft.com/office/drawing/2014/chart" uri="{C3380CC4-5D6E-409C-BE32-E72D297353CC}">
              <c16:uniqueId val="{00000007-5659-42A0-B981-536825A47E8C}"/>
            </c:ext>
          </c:extLst>
        </c:ser>
        <c:ser>
          <c:idx val="9"/>
          <c:order val="9"/>
          <c:tx>
            <c:strRef>
              <c:f>SOURCE!$K$3:$K$4</c:f>
              <c:strCache>
                <c:ptCount val="1"/>
                <c:pt idx="0">
                  <c:v>Sales</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SOURCE!$A$5:$A$10</c:f>
              <c:strCache>
                <c:ptCount val="5"/>
                <c:pt idx="0">
                  <c:v>Career Site</c:v>
                </c:pt>
                <c:pt idx="1">
                  <c:v>Employee Referral</c:v>
                </c:pt>
                <c:pt idx="2">
                  <c:v>Job Board</c:v>
                </c:pt>
                <c:pt idx="3">
                  <c:v>LinkedIn</c:v>
                </c:pt>
                <c:pt idx="4">
                  <c:v>Recruiting Agency</c:v>
                </c:pt>
              </c:strCache>
            </c:strRef>
          </c:cat>
          <c:val>
            <c:numRef>
              <c:f>SOURCE!$K$5:$K$10</c:f>
              <c:numCache>
                <c:formatCode>General</c:formatCode>
                <c:ptCount val="5"/>
                <c:pt idx="0">
                  <c:v>5</c:v>
                </c:pt>
                <c:pt idx="1">
                  <c:v>2</c:v>
                </c:pt>
                <c:pt idx="2">
                  <c:v>3</c:v>
                </c:pt>
                <c:pt idx="3">
                  <c:v>5</c:v>
                </c:pt>
                <c:pt idx="4">
                  <c:v>2</c:v>
                </c:pt>
              </c:numCache>
            </c:numRef>
          </c:val>
          <c:extLst>
            <c:ext xmlns:c16="http://schemas.microsoft.com/office/drawing/2014/chart" uri="{C3380CC4-5D6E-409C-BE32-E72D297353CC}">
              <c16:uniqueId val="{00000008-5659-42A0-B981-536825A47E8C}"/>
            </c:ext>
          </c:extLst>
        </c:ser>
        <c:dLbls>
          <c:showLegendKey val="0"/>
          <c:showVal val="0"/>
          <c:showCatName val="0"/>
          <c:showSerName val="0"/>
          <c:showPercent val="0"/>
          <c:showBubbleSize val="0"/>
        </c:dLbls>
        <c:gapWidth val="100"/>
        <c:overlap val="-24"/>
        <c:axId val="1933771039"/>
        <c:axId val="1933771519"/>
      </c:barChart>
      <c:catAx>
        <c:axId val="19337710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3771519"/>
        <c:crosses val="autoZero"/>
        <c:auto val="1"/>
        <c:lblAlgn val="ctr"/>
        <c:lblOffset val="100"/>
        <c:noMultiLvlLbl val="0"/>
      </c:catAx>
      <c:valAx>
        <c:axId val="1933771519"/>
        <c:scaling>
          <c:orientation val="minMax"/>
        </c:scaling>
        <c:delete val="1"/>
        <c:axPos val="l"/>
        <c:numFmt formatCode="General" sourceLinked="1"/>
        <c:majorTickMark val="none"/>
        <c:minorTickMark val="none"/>
        <c:tickLblPos val="nextTo"/>
        <c:crossAx val="1933771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[UNIT 4 HRA RECRUITMENT DATA.xlsx]RC!PivotTable5</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RECRUITMENT COST DEPT WISE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'RC'!$B$3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78B-4EAD-A6FC-C9141F34CF1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78B-4EAD-A6FC-C9141F34CF1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78B-4EAD-A6FC-C9141F34CF17}"/>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E78B-4EAD-A6FC-C9141F34CF17}"/>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E78B-4EAD-A6FC-C9141F34CF17}"/>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E78B-4EAD-A6FC-C9141F34CF17}"/>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E78B-4EAD-A6FC-C9141F34CF17}"/>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E78B-4EAD-A6FC-C9141F34CF17}"/>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E78B-4EAD-A6FC-C9141F34CF17}"/>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E78B-4EAD-A6FC-C9141F34CF1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'RC'!$A$4:$A$14</c:f>
              <c:strCache>
                <c:ptCount val="10"/>
                <c:pt idx="0">
                  <c:v>Customer Support</c:v>
                </c:pt>
                <c:pt idx="1">
                  <c:v>Engineering</c:v>
                </c:pt>
                <c:pt idx="2">
                  <c:v>Finance</c:v>
                </c:pt>
                <c:pt idx="3">
                  <c:v>Human Resources</c:v>
                </c:pt>
                <c:pt idx="4">
                  <c:v>IT</c:v>
                </c:pt>
                <c:pt idx="5">
                  <c:v>Legal</c:v>
                </c:pt>
                <c:pt idx="6">
                  <c:v>Marketing</c:v>
                </c:pt>
                <c:pt idx="7">
                  <c:v>Operations</c:v>
                </c:pt>
                <c:pt idx="8">
                  <c:v>Product</c:v>
                </c:pt>
                <c:pt idx="9">
                  <c:v>Sales</c:v>
                </c:pt>
              </c:strCache>
            </c:strRef>
          </c:cat>
          <c:val>
            <c:numRef>
              <c:f>'RC'!$B$4:$B$14</c:f>
              <c:numCache>
                <c:formatCode>\$#,##0</c:formatCode>
                <c:ptCount val="10"/>
                <c:pt idx="0">
                  <c:v>59343</c:v>
                </c:pt>
                <c:pt idx="1">
                  <c:v>92951</c:v>
                </c:pt>
                <c:pt idx="2">
                  <c:v>31609</c:v>
                </c:pt>
                <c:pt idx="3">
                  <c:v>46834</c:v>
                </c:pt>
                <c:pt idx="4">
                  <c:v>65729</c:v>
                </c:pt>
                <c:pt idx="5">
                  <c:v>44141</c:v>
                </c:pt>
                <c:pt idx="6">
                  <c:v>87233</c:v>
                </c:pt>
                <c:pt idx="7">
                  <c:v>80808</c:v>
                </c:pt>
                <c:pt idx="8">
                  <c:v>71627</c:v>
                </c:pt>
                <c:pt idx="9">
                  <c:v>57443</c:v>
                </c:pt>
              </c:numCache>
            </c:numRef>
          </c:val>
          <c:extLst>
            <c:ext xmlns:c16="http://schemas.microsoft.com/office/drawing/2014/chart" uri="{C3380CC4-5D6E-409C-BE32-E72D297353CC}">
              <c16:uniqueId val="{00000000-52D5-4DED-A253-BFC9D60FABA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[UNIT 4 HRA RECRUITMENT DATA.xlsx]DEPT!PivotTable1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DEPT TOTAL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C00000"/>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48557377981181"/>
          <c:y val="0.21542234332425067"/>
          <c:w val="0.76551209528411834"/>
          <c:h val="0.41797120727756443"/>
        </c:manualLayout>
      </c:layout>
      <c:barChart>
        <c:barDir val="col"/>
        <c:grouping val="clustered"/>
        <c:varyColors val="0"/>
        <c:ser>
          <c:idx val="0"/>
          <c:order val="0"/>
          <c:tx>
            <c:strRef>
              <c:f>DEPT!$B$3</c:f>
              <c:strCache>
                <c:ptCount val="1"/>
                <c:pt idx="0">
                  <c:v>Total</c:v>
                </c:pt>
              </c:strCache>
            </c:strRef>
          </c:tx>
          <c:spPr>
            <a:solidFill>
              <a:srgbClr val="C0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DEPT!$A$4:$A$14</c:f>
              <c:strCache>
                <c:ptCount val="10"/>
                <c:pt idx="0">
                  <c:v>Customer Support</c:v>
                </c:pt>
                <c:pt idx="1">
                  <c:v>Engineering</c:v>
                </c:pt>
                <c:pt idx="2">
                  <c:v>Finance</c:v>
                </c:pt>
                <c:pt idx="3">
                  <c:v>Human Resources</c:v>
                </c:pt>
                <c:pt idx="4">
                  <c:v>IT</c:v>
                </c:pt>
                <c:pt idx="5">
                  <c:v>Legal</c:v>
                </c:pt>
                <c:pt idx="6">
                  <c:v>Marketing</c:v>
                </c:pt>
                <c:pt idx="7">
                  <c:v>Operations</c:v>
                </c:pt>
                <c:pt idx="8">
                  <c:v>Product</c:v>
                </c:pt>
                <c:pt idx="9">
                  <c:v>Sales</c:v>
                </c:pt>
              </c:strCache>
            </c:strRef>
          </c:cat>
          <c:val>
            <c:numRef>
              <c:f>DEPT!$B$4:$B$14</c:f>
              <c:numCache>
                <c:formatCode>General</c:formatCode>
                <c:ptCount val="10"/>
                <c:pt idx="0">
                  <c:v>16</c:v>
                </c:pt>
                <c:pt idx="1">
                  <c:v>18</c:v>
                </c:pt>
                <c:pt idx="2">
                  <c:v>10</c:v>
                </c:pt>
                <c:pt idx="3">
                  <c:v>16</c:v>
                </c:pt>
                <c:pt idx="4">
                  <c:v>15</c:v>
                </c:pt>
                <c:pt idx="5">
                  <c:v>12</c:v>
                </c:pt>
                <c:pt idx="6">
                  <c:v>18</c:v>
                </c:pt>
                <c:pt idx="7">
                  <c:v>18</c:v>
                </c:pt>
                <c:pt idx="8">
                  <c:v>20</c:v>
                </c:pt>
                <c:pt idx="9">
                  <c:v>17</c:v>
                </c:pt>
              </c:numCache>
            </c:numRef>
          </c:val>
          <c:extLst>
            <c:ext xmlns:c16="http://schemas.microsoft.com/office/drawing/2014/chart" uri="{C3380CC4-5D6E-409C-BE32-E72D297353CC}">
              <c16:uniqueId val="{00000002-017F-4E39-AC0F-96415E5555CF}"/>
            </c:ext>
          </c:extLst>
        </c:ser>
        <c:dLbls>
          <c:showLegendKey val="0"/>
          <c:showVal val="0"/>
          <c:showCatName val="0"/>
          <c:showSerName val="0"/>
          <c:showPercent val="0"/>
          <c:showBubbleSize val="0"/>
        </c:dLbls>
        <c:gapWidth val="115"/>
        <c:axId val="1581966479"/>
        <c:axId val="1581967439"/>
      </c:barChart>
      <c:catAx>
        <c:axId val="15819664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1967439"/>
        <c:crosses val="autoZero"/>
        <c:auto val="1"/>
        <c:lblAlgn val="ctr"/>
        <c:lblOffset val="100"/>
        <c:noMultiLvlLbl val="0"/>
      </c:catAx>
      <c:valAx>
        <c:axId val="1581967439"/>
        <c:scaling>
          <c:orientation val="minMax"/>
        </c:scaling>
        <c:delete val="1"/>
        <c:axPos val="l"/>
        <c:numFmt formatCode="General" sourceLinked="1"/>
        <c:majorTickMark val="none"/>
        <c:minorTickMark val="none"/>
        <c:tickLblPos val="nextTo"/>
        <c:crossAx val="1581966479"/>
        <c:crosses val="autoZero"/>
        <c:crossBetween val="between"/>
      </c:valAx>
      <c:spPr>
        <a:noFill/>
        <a:ln>
          <a:noFill/>
        </a:ln>
        <a:effectLst/>
      </c:spPr>
    </c:plotArea>
    <c:plotVisOnly val="1"/>
    <c:dispBlanksAs val="gap"/>
    <c:showDLblsOverMax val="0"/>
    <c:extLst/>
  </c:chart>
  <c:spPr>
    <a:solidFill>
      <a:schemeClr val="accent1">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[UNIT 4 HRA RECRUITMENT DATA.xlsx]REQ STS!PivotTable2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REQUISTION</a:t>
            </a:r>
            <a:r>
              <a:rPr lang="en-US" baseline="0"/>
              <a:t> STATUS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C00000"/>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'REQ STS'!$B$3</c:f>
              <c:strCache>
                <c:ptCount val="1"/>
                <c:pt idx="0">
                  <c:v>Total</c:v>
                </c:pt>
              </c:strCache>
            </c:strRef>
          </c:tx>
          <c:spPr>
            <a:solidFill>
              <a:srgbClr val="C0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'REQ STS'!$A$4:$A$7</c:f>
              <c:strCache>
                <c:ptCount val="3"/>
                <c:pt idx="0">
                  <c:v>Cancelled</c:v>
                </c:pt>
                <c:pt idx="1">
                  <c:v>Filled</c:v>
                </c:pt>
                <c:pt idx="2">
                  <c:v>Open</c:v>
                </c:pt>
              </c:strCache>
            </c:strRef>
          </c:cat>
          <c:val>
            <c:numRef>
              <c:f>'REQ STS'!$B$4:$B$7</c:f>
              <c:numCache>
                <c:formatCode>General</c:formatCode>
                <c:ptCount val="3"/>
                <c:pt idx="0">
                  <c:v>5</c:v>
                </c:pt>
                <c:pt idx="1">
                  <c:v>104</c:v>
                </c:pt>
                <c:pt idx="2">
                  <c:v>51</c:v>
                </c:pt>
              </c:numCache>
            </c:numRef>
          </c:val>
          <c:extLst>
            <c:ext xmlns:c16="http://schemas.microsoft.com/office/drawing/2014/chart" uri="{C3380CC4-5D6E-409C-BE32-E72D297353CC}">
              <c16:uniqueId val="{00000000-2611-4F51-8EC4-FE8C7D90FBEB}"/>
            </c:ext>
          </c:extLst>
        </c:ser>
        <c:dLbls>
          <c:showLegendKey val="0"/>
          <c:showVal val="0"/>
          <c:showCatName val="0"/>
          <c:showSerName val="0"/>
          <c:showPercent val="0"/>
          <c:showBubbleSize val="0"/>
        </c:dLbls>
        <c:gapWidth val="115"/>
        <c:overlap val="-20"/>
        <c:axId val="1581966479"/>
        <c:axId val="1581967439"/>
      </c:barChart>
      <c:catAx>
        <c:axId val="158196647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1967439"/>
        <c:crosses val="autoZero"/>
        <c:auto val="1"/>
        <c:lblAlgn val="ctr"/>
        <c:lblOffset val="100"/>
        <c:noMultiLvlLbl val="0"/>
      </c:catAx>
      <c:valAx>
        <c:axId val="1581967439"/>
        <c:scaling>
          <c:orientation val="minMax"/>
        </c:scaling>
        <c:delete val="1"/>
        <c:axPos val="b"/>
        <c:numFmt formatCode="General" sourceLinked="1"/>
        <c:majorTickMark val="none"/>
        <c:minorTickMark val="none"/>
        <c:tickLblPos val="nextTo"/>
        <c:crossAx val="1581966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[UNIT 4 HRA RECRUITMENT DATA.xlsx]SOURCE!PivotTable3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SOURCES</a:t>
            </a:r>
            <a:r>
              <a:rPr lang="en-IN" baseline="0"/>
              <a:t> </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SOURCE!$B$3:$B$4</c:f>
              <c:strCache>
                <c:ptCount val="1"/>
                <c:pt idx="0">
                  <c:v>Customer Support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SOURCE!$A$5:$A$10</c:f>
              <c:strCache>
                <c:ptCount val="5"/>
                <c:pt idx="0">
                  <c:v>Career Site</c:v>
                </c:pt>
                <c:pt idx="1">
                  <c:v>Employee Referral</c:v>
                </c:pt>
                <c:pt idx="2">
                  <c:v>Job Board</c:v>
                </c:pt>
                <c:pt idx="3">
                  <c:v>LinkedIn</c:v>
                </c:pt>
                <c:pt idx="4">
                  <c:v>Recruiting Agency</c:v>
                </c:pt>
              </c:strCache>
            </c:strRef>
          </c:cat>
          <c:val>
            <c:numRef>
              <c:f>SOURCE!$B$5:$B$10</c:f>
              <c:numCache>
                <c:formatCode>General</c:formatCode>
                <c:ptCount val="5"/>
                <c:pt idx="0">
                  <c:v>3</c:v>
                </c:pt>
                <c:pt idx="1">
                  <c:v>7</c:v>
                </c:pt>
                <c:pt idx="2">
                  <c:v>1</c:v>
                </c:pt>
                <c:pt idx="3">
                  <c:v>2</c:v>
                </c:pt>
                <c:pt idx="4">
                  <c:v>3</c:v>
                </c:pt>
              </c:numCache>
            </c:numRef>
          </c:val>
          <c:extLst>
            <c:ext xmlns:c16="http://schemas.microsoft.com/office/drawing/2014/chart" uri="{C3380CC4-5D6E-409C-BE32-E72D297353CC}">
              <c16:uniqueId val="{00000000-404B-4499-A02C-A9B9AFE8C023}"/>
            </c:ext>
          </c:extLst>
        </c:ser>
        <c:ser>
          <c:idx val="1"/>
          <c:order val="1"/>
          <c:tx>
            <c:strRef>
              <c:f>SOURCE!$C$3:$C$4</c:f>
              <c:strCache>
                <c:ptCount val="1"/>
                <c:pt idx="0">
                  <c:v>Engineering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SOURCE!$A$5:$A$10</c:f>
              <c:strCache>
                <c:ptCount val="5"/>
                <c:pt idx="0">
                  <c:v>Career Site</c:v>
                </c:pt>
                <c:pt idx="1">
                  <c:v>Employee Referral</c:v>
                </c:pt>
                <c:pt idx="2">
                  <c:v>Job Board</c:v>
                </c:pt>
                <c:pt idx="3">
                  <c:v>LinkedIn</c:v>
                </c:pt>
                <c:pt idx="4">
                  <c:v>Recruiting Agency</c:v>
                </c:pt>
              </c:strCache>
            </c:strRef>
          </c:cat>
          <c:val>
            <c:numRef>
              <c:f>SOURCE!$C$5:$C$10</c:f>
              <c:numCache>
                <c:formatCode>General</c:formatCode>
                <c:ptCount val="5"/>
                <c:pt idx="0">
                  <c:v>2</c:v>
                </c:pt>
                <c:pt idx="1">
                  <c:v>3</c:v>
                </c:pt>
                <c:pt idx="2">
                  <c:v>6</c:v>
                </c:pt>
                <c:pt idx="4">
                  <c:v>7</c:v>
                </c:pt>
              </c:numCache>
            </c:numRef>
          </c:val>
          <c:extLst>
            <c:ext xmlns:c16="http://schemas.microsoft.com/office/drawing/2014/chart" uri="{C3380CC4-5D6E-409C-BE32-E72D297353CC}">
              <c16:uniqueId val="{00000001-D5BF-4C58-8894-CD7235220104}"/>
            </c:ext>
          </c:extLst>
        </c:ser>
        <c:ser>
          <c:idx val="2"/>
          <c:order val="2"/>
          <c:tx>
            <c:strRef>
              <c:f>SOURCE!$D$3:$D$4</c:f>
              <c:strCache>
                <c:ptCount val="1"/>
                <c:pt idx="0">
                  <c:v>Finance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SOURCE!$A$5:$A$10</c:f>
              <c:strCache>
                <c:ptCount val="5"/>
                <c:pt idx="0">
                  <c:v>Career Site</c:v>
                </c:pt>
                <c:pt idx="1">
                  <c:v>Employee Referral</c:v>
                </c:pt>
                <c:pt idx="2">
                  <c:v>Job Board</c:v>
                </c:pt>
                <c:pt idx="3">
                  <c:v>LinkedIn</c:v>
                </c:pt>
                <c:pt idx="4">
                  <c:v>Recruiting Agency</c:v>
                </c:pt>
              </c:strCache>
            </c:strRef>
          </c:cat>
          <c:val>
            <c:numRef>
              <c:f>SOURCE!$D$5:$D$10</c:f>
              <c:numCache>
                <c:formatCode>General</c:formatCode>
                <c:ptCount val="5"/>
                <c:pt idx="0">
                  <c:v>2</c:v>
                </c:pt>
                <c:pt idx="1">
                  <c:v>2</c:v>
                </c:pt>
                <c:pt idx="2">
                  <c:v>3</c:v>
                </c:pt>
                <c:pt idx="3">
                  <c:v>2</c:v>
                </c:pt>
                <c:pt idx="4">
                  <c:v>1</c:v>
                </c:pt>
              </c:numCache>
            </c:numRef>
          </c:val>
          <c:extLst>
            <c:ext xmlns:c16="http://schemas.microsoft.com/office/drawing/2014/chart" uri="{C3380CC4-5D6E-409C-BE32-E72D297353CC}">
              <c16:uniqueId val="{00000002-D5BF-4C58-8894-CD7235220104}"/>
            </c:ext>
          </c:extLst>
        </c:ser>
        <c:ser>
          <c:idx val="3"/>
          <c:order val="3"/>
          <c:tx>
            <c:strRef>
              <c:f>SOURCE!$E$3:$E$4</c:f>
              <c:strCache>
                <c:ptCount val="1"/>
                <c:pt idx="0">
                  <c:v>Human Resources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SOURCE!$A$5:$A$10</c:f>
              <c:strCache>
                <c:ptCount val="5"/>
                <c:pt idx="0">
                  <c:v>Career Site</c:v>
                </c:pt>
                <c:pt idx="1">
                  <c:v>Employee Referral</c:v>
                </c:pt>
                <c:pt idx="2">
                  <c:v>Job Board</c:v>
                </c:pt>
                <c:pt idx="3">
                  <c:v>LinkedIn</c:v>
                </c:pt>
                <c:pt idx="4">
                  <c:v>Recruiting Agency</c:v>
                </c:pt>
              </c:strCache>
            </c:strRef>
          </c:cat>
          <c:val>
            <c:numRef>
              <c:f>SOURCE!$E$5:$E$10</c:f>
              <c:numCache>
                <c:formatCode>General</c:formatCode>
                <c:ptCount val="5"/>
                <c:pt idx="1">
                  <c:v>7</c:v>
                </c:pt>
                <c:pt idx="2">
                  <c:v>6</c:v>
                </c:pt>
                <c:pt idx="3">
                  <c:v>2</c:v>
                </c:pt>
                <c:pt idx="4">
                  <c:v>1</c:v>
                </c:pt>
              </c:numCache>
            </c:numRef>
          </c:val>
          <c:extLst>
            <c:ext xmlns:c16="http://schemas.microsoft.com/office/drawing/2014/chart" uri="{C3380CC4-5D6E-409C-BE32-E72D297353CC}">
              <c16:uniqueId val="{00000003-D5BF-4C58-8894-CD7235220104}"/>
            </c:ext>
          </c:extLst>
        </c:ser>
        <c:ser>
          <c:idx val="4"/>
          <c:order val="4"/>
          <c:tx>
            <c:strRef>
              <c:f>SOURCE!$F$3:$F$4</c:f>
              <c:strCache>
                <c:ptCount val="1"/>
                <c:pt idx="0">
                  <c:v>IT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SOURCE!$A$5:$A$10</c:f>
              <c:strCache>
                <c:ptCount val="5"/>
                <c:pt idx="0">
                  <c:v>Career Site</c:v>
                </c:pt>
                <c:pt idx="1">
                  <c:v>Employee Referral</c:v>
                </c:pt>
                <c:pt idx="2">
                  <c:v>Job Board</c:v>
                </c:pt>
                <c:pt idx="3">
                  <c:v>LinkedIn</c:v>
                </c:pt>
                <c:pt idx="4">
                  <c:v>Recruiting Agency</c:v>
                </c:pt>
              </c:strCache>
            </c:strRef>
          </c:cat>
          <c:val>
            <c:numRef>
              <c:f>SOURCE!$F$5:$F$10</c:f>
              <c:numCache>
                <c:formatCode>General</c:formatCode>
                <c:ptCount val="5"/>
                <c:pt idx="0">
                  <c:v>2</c:v>
                </c:pt>
                <c:pt idx="1">
                  <c:v>2</c:v>
                </c:pt>
                <c:pt idx="2">
                  <c:v>4</c:v>
                </c:pt>
                <c:pt idx="3">
                  <c:v>3</c:v>
                </c:pt>
                <c:pt idx="4">
                  <c:v>4</c:v>
                </c:pt>
              </c:numCache>
            </c:numRef>
          </c:val>
          <c:extLst>
            <c:ext xmlns:c16="http://schemas.microsoft.com/office/drawing/2014/chart" uri="{C3380CC4-5D6E-409C-BE32-E72D297353CC}">
              <c16:uniqueId val="{00000004-D5BF-4C58-8894-CD7235220104}"/>
            </c:ext>
          </c:extLst>
        </c:ser>
        <c:ser>
          <c:idx val="5"/>
          <c:order val="5"/>
          <c:tx>
            <c:strRef>
              <c:f>SOURCE!$G$3:$G$4</c:f>
              <c:strCache>
                <c:ptCount val="1"/>
                <c:pt idx="0">
                  <c:v>Legal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SOURCE!$A$5:$A$10</c:f>
              <c:strCache>
                <c:ptCount val="5"/>
                <c:pt idx="0">
                  <c:v>Career Site</c:v>
                </c:pt>
                <c:pt idx="1">
                  <c:v>Employee Referral</c:v>
                </c:pt>
                <c:pt idx="2">
                  <c:v>Job Board</c:v>
                </c:pt>
                <c:pt idx="3">
                  <c:v>LinkedIn</c:v>
                </c:pt>
                <c:pt idx="4">
                  <c:v>Recruiting Agency</c:v>
                </c:pt>
              </c:strCache>
            </c:strRef>
          </c:cat>
          <c:val>
            <c:numRef>
              <c:f>SOURCE!$G$5:$G$10</c:f>
              <c:numCache>
                <c:formatCode>General</c:formatCode>
                <c:ptCount val="5"/>
                <c:pt idx="0">
                  <c:v>3</c:v>
                </c:pt>
                <c:pt idx="1">
                  <c:v>2</c:v>
                </c:pt>
                <c:pt idx="2">
                  <c:v>1</c:v>
                </c:pt>
                <c:pt idx="3">
                  <c:v>4</c:v>
                </c:pt>
                <c:pt idx="4">
                  <c:v>2</c:v>
                </c:pt>
              </c:numCache>
            </c:numRef>
          </c:val>
          <c:extLst>
            <c:ext xmlns:c16="http://schemas.microsoft.com/office/drawing/2014/chart" uri="{C3380CC4-5D6E-409C-BE32-E72D297353CC}">
              <c16:uniqueId val="{00000005-D5BF-4C58-8894-CD7235220104}"/>
            </c:ext>
          </c:extLst>
        </c:ser>
        <c:ser>
          <c:idx val="6"/>
          <c:order val="6"/>
          <c:tx>
            <c:strRef>
              <c:f>SOURCE!$H$3:$H$4</c:f>
              <c:strCache>
                <c:ptCount val="1"/>
                <c:pt idx="0">
                  <c:v>Marketing</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SOURCE!$A$5:$A$10</c:f>
              <c:strCache>
                <c:ptCount val="5"/>
                <c:pt idx="0">
                  <c:v>Career Site</c:v>
                </c:pt>
                <c:pt idx="1">
                  <c:v>Employee Referral</c:v>
                </c:pt>
                <c:pt idx="2">
                  <c:v>Job Board</c:v>
                </c:pt>
                <c:pt idx="3">
                  <c:v>LinkedIn</c:v>
                </c:pt>
                <c:pt idx="4">
                  <c:v>Recruiting Agency</c:v>
                </c:pt>
              </c:strCache>
            </c:strRef>
          </c:cat>
          <c:val>
            <c:numRef>
              <c:f>SOURCE!$H$5:$H$10</c:f>
              <c:numCache>
                <c:formatCode>General</c:formatCode>
                <c:ptCount val="5"/>
                <c:pt idx="0">
                  <c:v>3</c:v>
                </c:pt>
                <c:pt idx="1">
                  <c:v>1</c:v>
                </c:pt>
                <c:pt idx="2">
                  <c:v>3</c:v>
                </c:pt>
                <c:pt idx="3">
                  <c:v>7</c:v>
                </c:pt>
                <c:pt idx="4">
                  <c:v>4</c:v>
                </c:pt>
              </c:numCache>
            </c:numRef>
          </c:val>
          <c:extLst>
            <c:ext xmlns:c16="http://schemas.microsoft.com/office/drawing/2014/chart" uri="{C3380CC4-5D6E-409C-BE32-E72D297353CC}">
              <c16:uniqueId val="{00000006-D5BF-4C58-8894-CD7235220104}"/>
            </c:ext>
          </c:extLst>
        </c:ser>
        <c:ser>
          <c:idx val="7"/>
          <c:order val="7"/>
          <c:tx>
            <c:strRef>
              <c:f>SOURCE!$I$3:$I$4</c:f>
              <c:strCache>
                <c:ptCount val="1"/>
                <c:pt idx="0">
                  <c:v>Operations</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SOURCE!$A$5:$A$10</c:f>
              <c:strCache>
                <c:ptCount val="5"/>
                <c:pt idx="0">
                  <c:v>Career Site</c:v>
                </c:pt>
                <c:pt idx="1">
                  <c:v>Employee Referral</c:v>
                </c:pt>
                <c:pt idx="2">
                  <c:v>Job Board</c:v>
                </c:pt>
                <c:pt idx="3">
                  <c:v>LinkedIn</c:v>
                </c:pt>
                <c:pt idx="4">
                  <c:v>Recruiting Agency</c:v>
                </c:pt>
              </c:strCache>
            </c:strRef>
          </c:cat>
          <c:val>
            <c:numRef>
              <c:f>SOURCE!$I$5:$I$10</c:f>
              <c:numCache>
                <c:formatCode>General</c:formatCode>
                <c:ptCount val="5"/>
                <c:pt idx="0">
                  <c:v>4</c:v>
                </c:pt>
                <c:pt idx="1">
                  <c:v>3</c:v>
                </c:pt>
                <c:pt idx="2">
                  <c:v>2</c:v>
                </c:pt>
                <c:pt idx="3">
                  <c:v>5</c:v>
                </c:pt>
                <c:pt idx="4">
                  <c:v>4</c:v>
                </c:pt>
              </c:numCache>
            </c:numRef>
          </c:val>
          <c:extLst>
            <c:ext xmlns:c16="http://schemas.microsoft.com/office/drawing/2014/chart" uri="{C3380CC4-5D6E-409C-BE32-E72D297353CC}">
              <c16:uniqueId val="{00000007-D5BF-4C58-8894-CD7235220104}"/>
            </c:ext>
          </c:extLst>
        </c:ser>
        <c:ser>
          <c:idx val="8"/>
          <c:order val="8"/>
          <c:tx>
            <c:strRef>
              <c:f>SOURCE!$J$3:$J$4</c:f>
              <c:strCache>
                <c:ptCount val="1"/>
                <c:pt idx="0">
                  <c:v>Product</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SOURCE!$A$5:$A$10</c:f>
              <c:strCache>
                <c:ptCount val="5"/>
                <c:pt idx="0">
                  <c:v>Career Site</c:v>
                </c:pt>
                <c:pt idx="1">
                  <c:v>Employee Referral</c:v>
                </c:pt>
                <c:pt idx="2">
                  <c:v>Job Board</c:v>
                </c:pt>
                <c:pt idx="3">
                  <c:v>LinkedIn</c:v>
                </c:pt>
                <c:pt idx="4">
                  <c:v>Recruiting Agency</c:v>
                </c:pt>
              </c:strCache>
            </c:strRef>
          </c:cat>
          <c:val>
            <c:numRef>
              <c:f>SOURCE!$J$5:$J$10</c:f>
              <c:numCache>
                <c:formatCode>General</c:formatCode>
                <c:ptCount val="5"/>
                <c:pt idx="0">
                  <c:v>5</c:v>
                </c:pt>
                <c:pt idx="1">
                  <c:v>4</c:v>
                </c:pt>
                <c:pt idx="2">
                  <c:v>6</c:v>
                </c:pt>
                <c:pt idx="3">
                  <c:v>1</c:v>
                </c:pt>
                <c:pt idx="4">
                  <c:v>4</c:v>
                </c:pt>
              </c:numCache>
            </c:numRef>
          </c:val>
          <c:extLst>
            <c:ext xmlns:c16="http://schemas.microsoft.com/office/drawing/2014/chart" uri="{C3380CC4-5D6E-409C-BE32-E72D297353CC}">
              <c16:uniqueId val="{00000008-D5BF-4C58-8894-CD7235220104}"/>
            </c:ext>
          </c:extLst>
        </c:ser>
        <c:ser>
          <c:idx val="9"/>
          <c:order val="9"/>
          <c:tx>
            <c:strRef>
              <c:f>SOURCE!$K$3:$K$4</c:f>
              <c:strCache>
                <c:ptCount val="1"/>
                <c:pt idx="0">
                  <c:v>Sales</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SOURCE!$A$5:$A$10</c:f>
              <c:strCache>
                <c:ptCount val="5"/>
                <c:pt idx="0">
                  <c:v>Career Site</c:v>
                </c:pt>
                <c:pt idx="1">
                  <c:v>Employee Referral</c:v>
                </c:pt>
                <c:pt idx="2">
                  <c:v>Job Board</c:v>
                </c:pt>
                <c:pt idx="3">
                  <c:v>LinkedIn</c:v>
                </c:pt>
                <c:pt idx="4">
                  <c:v>Recruiting Agency</c:v>
                </c:pt>
              </c:strCache>
            </c:strRef>
          </c:cat>
          <c:val>
            <c:numRef>
              <c:f>SOURCE!$K$5:$K$10</c:f>
              <c:numCache>
                <c:formatCode>General</c:formatCode>
                <c:ptCount val="5"/>
                <c:pt idx="0">
                  <c:v>5</c:v>
                </c:pt>
                <c:pt idx="1">
                  <c:v>2</c:v>
                </c:pt>
                <c:pt idx="2">
                  <c:v>3</c:v>
                </c:pt>
                <c:pt idx="3">
                  <c:v>5</c:v>
                </c:pt>
                <c:pt idx="4">
                  <c:v>2</c:v>
                </c:pt>
              </c:numCache>
            </c:numRef>
          </c:val>
          <c:extLst>
            <c:ext xmlns:c16="http://schemas.microsoft.com/office/drawing/2014/chart" uri="{C3380CC4-5D6E-409C-BE32-E72D297353CC}">
              <c16:uniqueId val="{00000009-D5BF-4C58-8894-CD7235220104}"/>
            </c:ext>
          </c:extLst>
        </c:ser>
        <c:dLbls>
          <c:showLegendKey val="0"/>
          <c:showVal val="0"/>
          <c:showCatName val="0"/>
          <c:showSerName val="0"/>
          <c:showPercent val="0"/>
          <c:showBubbleSize val="0"/>
        </c:dLbls>
        <c:gapWidth val="100"/>
        <c:overlap val="-24"/>
        <c:axId val="1933771039"/>
        <c:axId val="1933771519"/>
      </c:barChart>
      <c:catAx>
        <c:axId val="19337710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3771519"/>
        <c:crosses val="autoZero"/>
        <c:auto val="1"/>
        <c:lblAlgn val="ctr"/>
        <c:lblOffset val="100"/>
        <c:noMultiLvlLbl val="0"/>
      </c:catAx>
      <c:valAx>
        <c:axId val="1933771519"/>
        <c:scaling>
          <c:orientation val="minMax"/>
        </c:scaling>
        <c:delete val="1"/>
        <c:axPos val="l"/>
        <c:numFmt formatCode="General" sourceLinked="1"/>
        <c:majorTickMark val="none"/>
        <c:minorTickMark val="none"/>
        <c:tickLblPos val="nextTo"/>
        <c:crossAx val="1933771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[UNIT 4 HRA RECRUITMENT DATA.xlsx]RC!PivotTable5</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RECRUITMENT COST DEPT WISE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'RC'!$B$3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C21-4069-AB31-5A49DF4C0BAA}"/>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C21-4069-AB31-5A49DF4C0BAA}"/>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C21-4069-AB31-5A49DF4C0BAA}"/>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EC21-4069-AB31-5A49DF4C0BAA}"/>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EC21-4069-AB31-5A49DF4C0BAA}"/>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EC21-4069-AB31-5A49DF4C0BAA}"/>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EC21-4069-AB31-5A49DF4C0BAA}"/>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EC21-4069-AB31-5A49DF4C0BAA}"/>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EC21-4069-AB31-5A49DF4C0BAA}"/>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EC21-4069-AB31-5A49DF4C0BA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'RC'!$A$4:$A$14</c:f>
              <c:strCache>
                <c:ptCount val="10"/>
                <c:pt idx="0">
                  <c:v>Customer Support</c:v>
                </c:pt>
                <c:pt idx="1">
                  <c:v>Engineering</c:v>
                </c:pt>
                <c:pt idx="2">
                  <c:v>Finance</c:v>
                </c:pt>
                <c:pt idx="3">
                  <c:v>Human Resources</c:v>
                </c:pt>
                <c:pt idx="4">
                  <c:v>IT</c:v>
                </c:pt>
                <c:pt idx="5">
                  <c:v>Legal</c:v>
                </c:pt>
                <c:pt idx="6">
                  <c:v>Marketing</c:v>
                </c:pt>
                <c:pt idx="7">
                  <c:v>Operations</c:v>
                </c:pt>
                <c:pt idx="8">
                  <c:v>Product</c:v>
                </c:pt>
                <c:pt idx="9">
                  <c:v>Sales</c:v>
                </c:pt>
              </c:strCache>
            </c:strRef>
          </c:cat>
          <c:val>
            <c:numRef>
              <c:f>'RC'!$B$4:$B$14</c:f>
              <c:numCache>
                <c:formatCode>\$#,##0</c:formatCode>
                <c:ptCount val="10"/>
                <c:pt idx="0">
                  <c:v>59343</c:v>
                </c:pt>
                <c:pt idx="1">
                  <c:v>92951</c:v>
                </c:pt>
                <c:pt idx="2">
                  <c:v>31609</c:v>
                </c:pt>
                <c:pt idx="3">
                  <c:v>46834</c:v>
                </c:pt>
                <c:pt idx="4">
                  <c:v>65729</c:v>
                </c:pt>
                <c:pt idx="5">
                  <c:v>44141</c:v>
                </c:pt>
                <c:pt idx="6">
                  <c:v>87233</c:v>
                </c:pt>
                <c:pt idx="7">
                  <c:v>80808</c:v>
                </c:pt>
                <c:pt idx="8">
                  <c:v>71627</c:v>
                </c:pt>
                <c:pt idx="9">
                  <c:v>57443</c:v>
                </c:pt>
              </c:numCache>
            </c:numRef>
          </c:val>
          <c:extLst>
            <c:ext xmlns:c16="http://schemas.microsoft.com/office/drawing/2014/chart" uri="{C3380CC4-5D6E-409C-BE32-E72D297353CC}">
              <c16:uniqueId val="{00000014-EC21-4069-AB31-5A49DF4C0BA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7214026555504103"/>
          <c:y val="0.18298911406565982"/>
          <c:w val="0.1881538520920179"/>
          <c:h val="0.7704969665677035"/>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101600</xdr:colOff>
      <xdr:row>1</xdr:row>
      <xdr:rowOff>152400</xdr:rowOff>
    </xdr:from>
    <xdr:to>
      <xdr:col>8</xdr:col>
      <xdr:colOff>603250</xdr:colOff>
      <xdr:row>14</xdr:row>
      <xdr:rowOff>88900</xdr:rowOff>
    </xdr:to>
    <xdr:graphicFrame macro="">
      <xdr:nvGraphicFramePr>
        <xdr:cNvPr id="2" name="Chart 1">
          <a:extLst>
            <a:ext uri="{FF2B5EF4-FFF2-40B4-BE49-F238E27FC236}">
              <a16:creationId xmlns:a16="http://schemas.microsoft.com/office/drawing/2014/main" id="{9F7D07D4-44AF-C974-83AB-5C6C840257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44450</xdr:colOff>
      <xdr:row>0</xdr:row>
      <xdr:rowOff>76200</xdr:rowOff>
    </xdr:from>
    <xdr:to>
      <xdr:col>12</xdr:col>
      <xdr:colOff>44450</xdr:colOff>
      <xdr:row>17</xdr:row>
      <xdr:rowOff>95250</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8BB0FA7D-191B-B876-E7BF-D41271F4520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826250" y="76200"/>
              <a:ext cx="1828800" cy="314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311150</xdr:colOff>
      <xdr:row>1</xdr:row>
      <xdr:rowOff>82550</xdr:rowOff>
    </xdr:from>
    <xdr:to>
      <xdr:col>9</xdr:col>
      <xdr:colOff>76200</xdr:colOff>
      <xdr:row>16</xdr:row>
      <xdr:rowOff>63500</xdr:rowOff>
    </xdr:to>
    <xdr:graphicFrame macro="">
      <xdr:nvGraphicFramePr>
        <xdr:cNvPr id="2" name="Chart 1">
          <a:extLst>
            <a:ext uri="{FF2B5EF4-FFF2-40B4-BE49-F238E27FC236}">
              <a16:creationId xmlns:a16="http://schemas.microsoft.com/office/drawing/2014/main" id="{CAF7944F-AD8F-DD39-5D26-E0E96C5C33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501650</xdr:colOff>
      <xdr:row>7</xdr:row>
      <xdr:rowOff>139701</xdr:rowOff>
    </xdr:from>
    <xdr:to>
      <xdr:col>2</xdr:col>
      <xdr:colOff>76200</xdr:colOff>
      <xdr:row>15</xdr:row>
      <xdr:rowOff>127001</xdr:rowOff>
    </xdr:to>
    <mc:AlternateContent xmlns:mc="http://schemas.openxmlformats.org/markup-compatibility/2006" xmlns:a14="http://schemas.microsoft.com/office/drawing/2010/main">
      <mc:Choice Requires="a14">
        <xdr:graphicFrame macro="">
          <xdr:nvGraphicFramePr>
            <xdr:cNvPr id="3" name="RequisitionStatus">
              <a:extLst>
                <a:ext uri="{FF2B5EF4-FFF2-40B4-BE49-F238E27FC236}">
                  <a16:creationId xmlns:a16="http://schemas.microsoft.com/office/drawing/2014/main" id="{725A7EDA-597A-506F-782E-800446F877DD}"/>
                </a:ext>
              </a:extLst>
            </xdr:cNvPr>
            <xdr:cNvGraphicFramePr/>
          </xdr:nvGraphicFramePr>
          <xdr:xfrm>
            <a:off x="0" y="0"/>
            <a:ext cx="0" cy="0"/>
          </xdr:xfrm>
          <a:graphic>
            <a:graphicData uri="http://schemas.microsoft.com/office/drawing/2010/slicer">
              <sle:slicer xmlns:sle="http://schemas.microsoft.com/office/drawing/2010/slicer" name="RequisitionStatus"/>
            </a:graphicData>
          </a:graphic>
        </xdr:graphicFrame>
      </mc:Choice>
      <mc:Fallback xmlns="">
        <xdr:sp macro="" textlink="">
          <xdr:nvSpPr>
            <xdr:cNvPr id="0" name=""/>
            <xdr:cNvSpPr>
              <a:spLocks noTextEdit="1"/>
            </xdr:cNvSpPr>
          </xdr:nvSpPr>
          <xdr:spPr>
            <a:xfrm>
              <a:off x="501650" y="1428751"/>
              <a:ext cx="1828800" cy="1460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234950</xdr:colOff>
      <xdr:row>10</xdr:row>
      <xdr:rowOff>146050</xdr:rowOff>
    </xdr:from>
    <xdr:to>
      <xdr:col>11</xdr:col>
      <xdr:colOff>698499</xdr:colOff>
      <xdr:row>25</xdr:row>
      <xdr:rowOff>127000</xdr:rowOff>
    </xdr:to>
    <xdr:graphicFrame macro="">
      <xdr:nvGraphicFramePr>
        <xdr:cNvPr id="3" name="Chart 2">
          <a:extLst>
            <a:ext uri="{FF2B5EF4-FFF2-40B4-BE49-F238E27FC236}">
              <a16:creationId xmlns:a16="http://schemas.microsoft.com/office/drawing/2014/main" id="{AD793559-B5F8-C833-30EC-712C689E3B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82550</xdr:colOff>
      <xdr:row>2</xdr:row>
      <xdr:rowOff>12701</xdr:rowOff>
    </xdr:from>
    <xdr:to>
      <xdr:col>15</xdr:col>
      <xdr:colOff>82550</xdr:colOff>
      <xdr:row>12</xdr:row>
      <xdr:rowOff>82551</xdr:rowOff>
    </xdr:to>
    <mc:AlternateContent xmlns:mc="http://schemas.openxmlformats.org/markup-compatibility/2006" xmlns:a14="http://schemas.microsoft.com/office/drawing/2010/main">
      <mc:Choice Requires="a14">
        <xdr:graphicFrame macro="">
          <xdr:nvGraphicFramePr>
            <xdr:cNvPr id="4" name="SourceChannel">
              <a:extLst>
                <a:ext uri="{FF2B5EF4-FFF2-40B4-BE49-F238E27FC236}">
                  <a16:creationId xmlns:a16="http://schemas.microsoft.com/office/drawing/2014/main" id="{38DEA97C-AF4C-66EA-FF5F-4D815766B36C}"/>
                </a:ext>
              </a:extLst>
            </xdr:cNvPr>
            <xdr:cNvGraphicFramePr/>
          </xdr:nvGraphicFramePr>
          <xdr:xfrm>
            <a:off x="0" y="0"/>
            <a:ext cx="0" cy="0"/>
          </xdr:xfrm>
          <a:graphic>
            <a:graphicData uri="http://schemas.microsoft.com/office/drawing/2010/slicer">
              <sle:slicer xmlns:sle="http://schemas.microsoft.com/office/drawing/2010/slicer" name="SourceChannel"/>
            </a:graphicData>
          </a:graphic>
        </xdr:graphicFrame>
      </mc:Choice>
      <mc:Fallback xmlns="">
        <xdr:sp macro="" textlink="">
          <xdr:nvSpPr>
            <xdr:cNvPr id="0" name=""/>
            <xdr:cNvSpPr>
              <a:spLocks noTextEdit="1"/>
            </xdr:cNvSpPr>
          </xdr:nvSpPr>
          <xdr:spPr>
            <a:xfrm>
              <a:off x="8496300" y="381001"/>
              <a:ext cx="1828800" cy="1911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377825</xdr:colOff>
      <xdr:row>1</xdr:row>
      <xdr:rowOff>146050</xdr:rowOff>
    </xdr:from>
    <xdr:to>
      <xdr:col>10</xdr:col>
      <xdr:colOff>73025</xdr:colOff>
      <xdr:row>16</xdr:row>
      <xdr:rowOff>127000</xdr:rowOff>
    </xdr:to>
    <xdr:graphicFrame macro="">
      <xdr:nvGraphicFramePr>
        <xdr:cNvPr id="2" name="Chart 1">
          <a:extLst>
            <a:ext uri="{FF2B5EF4-FFF2-40B4-BE49-F238E27FC236}">
              <a16:creationId xmlns:a16="http://schemas.microsoft.com/office/drawing/2014/main" id="{0939300E-A850-E1F1-3A62-0BCF3AA890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596900</xdr:colOff>
      <xdr:row>1</xdr:row>
      <xdr:rowOff>6350</xdr:rowOff>
    </xdr:from>
    <xdr:to>
      <xdr:col>13</xdr:col>
      <xdr:colOff>596900</xdr:colOff>
      <xdr:row>17</xdr:row>
      <xdr:rowOff>146050</xdr:rowOff>
    </xdr:to>
    <mc:AlternateContent xmlns:mc="http://schemas.openxmlformats.org/markup-compatibility/2006" xmlns:a14="http://schemas.microsoft.com/office/drawing/2010/main">
      <mc:Choice Requires="a14">
        <xdr:graphicFrame macro="">
          <xdr:nvGraphicFramePr>
            <xdr:cNvPr id="4" name="RecruitingCostUSD">
              <a:extLst>
                <a:ext uri="{FF2B5EF4-FFF2-40B4-BE49-F238E27FC236}">
                  <a16:creationId xmlns:a16="http://schemas.microsoft.com/office/drawing/2014/main" id="{120284C0-BFBD-2A96-BBB8-17B4744B7CE3}"/>
                </a:ext>
              </a:extLst>
            </xdr:cNvPr>
            <xdr:cNvGraphicFramePr/>
          </xdr:nvGraphicFramePr>
          <xdr:xfrm>
            <a:off x="0" y="0"/>
            <a:ext cx="0" cy="0"/>
          </xdr:xfrm>
          <a:graphic>
            <a:graphicData uri="http://schemas.microsoft.com/office/drawing/2010/slicer">
              <sle:slicer xmlns:sle="http://schemas.microsoft.com/office/drawing/2010/slicer" name="RecruitingCostUSD"/>
            </a:graphicData>
          </a:graphic>
        </xdr:graphicFrame>
      </mc:Choice>
      <mc:Fallback xmlns="">
        <xdr:sp macro="" textlink="">
          <xdr:nvSpPr>
            <xdr:cNvPr id="0" name=""/>
            <xdr:cNvSpPr>
              <a:spLocks noTextEdit="1"/>
            </xdr:cNvSpPr>
          </xdr:nvSpPr>
          <xdr:spPr>
            <a:xfrm>
              <a:off x="8197850" y="190500"/>
              <a:ext cx="1828800" cy="3086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63500</xdr:colOff>
      <xdr:row>0</xdr:row>
      <xdr:rowOff>69850</xdr:rowOff>
    </xdr:from>
    <xdr:to>
      <xdr:col>20</xdr:col>
      <xdr:colOff>190500</xdr:colOff>
      <xdr:row>2</xdr:row>
      <xdr:rowOff>158750</xdr:rowOff>
    </xdr:to>
    <xdr:sp macro="" textlink="">
      <xdr:nvSpPr>
        <xdr:cNvPr id="2" name="Rectangle: Rounded Corners 1">
          <a:extLst>
            <a:ext uri="{FF2B5EF4-FFF2-40B4-BE49-F238E27FC236}">
              <a16:creationId xmlns:a16="http://schemas.microsoft.com/office/drawing/2014/main" id="{4485ECD7-372C-10C4-30AD-BE3AA862227B}"/>
            </a:ext>
          </a:extLst>
        </xdr:cNvPr>
        <xdr:cNvSpPr/>
      </xdr:nvSpPr>
      <xdr:spPr>
        <a:xfrm>
          <a:off x="63500" y="69850"/>
          <a:ext cx="12319000" cy="457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latin typeface="Cooper Black" panose="0208090404030B020404" pitchFamily="18" charset="0"/>
            </a:rPr>
            <a:t>RECRUITMENT DATA OF AN EMPLOYEES</a:t>
          </a:r>
        </a:p>
      </xdr:txBody>
    </xdr:sp>
    <xdr:clientData/>
  </xdr:twoCellAnchor>
  <xdr:twoCellAnchor>
    <xdr:from>
      <xdr:col>0</xdr:col>
      <xdr:colOff>114300</xdr:colOff>
      <xdr:row>3</xdr:row>
      <xdr:rowOff>82550</xdr:rowOff>
    </xdr:from>
    <xdr:to>
      <xdr:col>20</xdr:col>
      <xdr:colOff>139700</xdr:colOff>
      <xdr:row>39</xdr:row>
      <xdr:rowOff>12700</xdr:rowOff>
    </xdr:to>
    <xdr:sp macro="" textlink="">
      <xdr:nvSpPr>
        <xdr:cNvPr id="3" name="Rectangle 2">
          <a:extLst>
            <a:ext uri="{FF2B5EF4-FFF2-40B4-BE49-F238E27FC236}">
              <a16:creationId xmlns:a16="http://schemas.microsoft.com/office/drawing/2014/main" id="{2DFA3BFA-5A54-B41E-C1CB-18F096111442}"/>
            </a:ext>
          </a:extLst>
        </xdr:cNvPr>
        <xdr:cNvSpPr/>
      </xdr:nvSpPr>
      <xdr:spPr>
        <a:xfrm>
          <a:off x="114300" y="635000"/>
          <a:ext cx="12217400" cy="655955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114300</xdr:colOff>
      <xdr:row>3</xdr:row>
      <xdr:rowOff>82550</xdr:rowOff>
    </xdr:from>
    <xdr:to>
      <xdr:col>3</xdr:col>
      <xdr:colOff>114300</xdr:colOff>
      <xdr:row>20</xdr:row>
      <xdr:rowOff>101600</xdr:rowOff>
    </xdr:to>
    <mc:AlternateContent xmlns:mc="http://schemas.openxmlformats.org/markup-compatibility/2006" xmlns:a14="http://schemas.microsoft.com/office/drawing/2010/main">
      <mc:Choice Requires="a14">
        <xdr:graphicFrame macro="">
          <xdr:nvGraphicFramePr>
            <xdr:cNvPr id="4" name="Department 1">
              <a:extLst>
                <a:ext uri="{FF2B5EF4-FFF2-40B4-BE49-F238E27FC236}">
                  <a16:creationId xmlns:a16="http://schemas.microsoft.com/office/drawing/2014/main" id="{5869CDE1-3B91-4841-A69C-1FC3EC983B7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14300" y="635000"/>
              <a:ext cx="1828800" cy="314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31</xdr:row>
      <xdr:rowOff>63500</xdr:rowOff>
    </xdr:from>
    <xdr:to>
      <xdr:col>3</xdr:col>
      <xdr:colOff>133350</xdr:colOff>
      <xdr:row>38</xdr:row>
      <xdr:rowOff>57150</xdr:rowOff>
    </xdr:to>
    <mc:AlternateContent xmlns:mc="http://schemas.openxmlformats.org/markup-compatibility/2006" xmlns:a14="http://schemas.microsoft.com/office/drawing/2010/main">
      <mc:Choice Requires="a14">
        <xdr:graphicFrame macro="">
          <xdr:nvGraphicFramePr>
            <xdr:cNvPr id="5" name="RequisitionStatus 1">
              <a:extLst>
                <a:ext uri="{FF2B5EF4-FFF2-40B4-BE49-F238E27FC236}">
                  <a16:creationId xmlns:a16="http://schemas.microsoft.com/office/drawing/2014/main" id="{03BE013F-27E4-438F-9B7E-371773F78299}"/>
                </a:ext>
              </a:extLst>
            </xdr:cNvPr>
            <xdr:cNvGraphicFramePr/>
          </xdr:nvGraphicFramePr>
          <xdr:xfrm>
            <a:off x="0" y="0"/>
            <a:ext cx="0" cy="0"/>
          </xdr:xfrm>
          <a:graphic>
            <a:graphicData uri="http://schemas.microsoft.com/office/drawing/2010/slicer">
              <sle:slicer xmlns:sle="http://schemas.microsoft.com/office/drawing/2010/slicer" name="RequisitionStatus 1"/>
            </a:graphicData>
          </a:graphic>
        </xdr:graphicFrame>
      </mc:Choice>
      <mc:Fallback xmlns="">
        <xdr:sp macro="" textlink="">
          <xdr:nvSpPr>
            <xdr:cNvPr id="0" name=""/>
            <xdr:cNvSpPr>
              <a:spLocks noTextEdit="1"/>
            </xdr:cNvSpPr>
          </xdr:nvSpPr>
          <xdr:spPr>
            <a:xfrm>
              <a:off x="133350" y="5772150"/>
              <a:ext cx="1828800" cy="1282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127000</xdr:colOff>
      <xdr:row>20</xdr:row>
      <xdr:rowOff>127000</xdr:rowOff>
    </xdr:from>
    <xdr:to>
      <xdr:col>3</xdr:col>
      <xdr:colOff>127000</xdr:colOff>
      <xdr:row>31</xdr:row>
      <xdr:rowOff>12700</xdr:rowOff>
    </xdr:to>
    <mc:AlternateContent xmlns:mc="http://schemas.openxmlformats.org/markup-compatibility/2006" xmlns:a14="http://schemas.microsoft.com/office/drawing/2010/main">
      <mc:Choice Requires="a14">
        <xdr:graphicFrame macro="">
          <xdr:nvGraphicFramePr>
            <xdr:cNvPr id="6" name="SourceChannel 1">
              <a:extLst>
                <a:ext uri="{FF2B5EF4-FFF2-40B4-BE49-F238E27FC236}">
                  <a16:creationId xmlns:a16="http://schemas.microsoft.com/office/drawing/2014/main" id="{E054638A-5164-4EDE-AF1D-9BED8E1971C4}"/>
                </a:ext>
              </a:extLst>
            </xdr:cNvPr>
            <xdr:cNvGraphicFramePr/>
          </xdr:nvGraphicFramePr>
          <xdr:xfrm>
            <a:off x="0" y="0"/>
            <a:ext cx="0" cy="0"/>
          </xdr:xfrm>
          <a:graphic>
            <a:graphicData uri="http://schemas.microsoft.com/office/drawing/2010/slicer">
              <sle:slicer xmlns:sle="http://schemas.microsoft.com/office/drawing/2010/slicer" name="SourceChannel 1"/>
            </a:graphicData>
          </a:graphic>
        </xdr:graphicFrame>
      </mc:Choice>
      <mc:Fallback xmlns="">
        <xdr:sp macro="" textlink="">
          <xdr:nvSpPr>
            <xdr:cNvPr id="0" name=""/>
            <xdr:cNvSpPr>
              <a:spLocks noTextEdit="1"/>
            </xdr:cNvSpPr>
          </xdr:nvSpPr>
          <xdr:spPr>
            <a:xfrm>
              <a:off x="127000" y="3810000"/>
              <a:ext cx="1828800" cy="1911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177800</xdr:colOff>
      <xdr:row>3</xdr:row>
      <xdr:rowOff>88900</xdr:rowOff>
    </xdr:from>
    <xdr:to>
      <xdr:col>6</xdr:col>
      <xdr:colOff>177800</xdr:colOff>
      <xdr:row>37</xdr:row>
      <xdr:rowOff>158750</xdr:rowOff>
    </xdr:to>
    <mc:AlternateContent xmlns:mc="http://schemas.openxmlformats.org/markup-compatibility/2006" xmlns:a14="http://schemas.microsoft.com/office/drawing/2010/main">
      <mc:Choice Requires="a14">
        <xdr:graphicFrame macro="">
          <xdr:nvGraphicFramePr>
            <xdr:cNvPr id="7" name="RecruitingCostUSD 1">
              <a:extLst>
                <a:ext uri="{FF2B5EF4-FFF2-40B4-BE49-F238E27FC236}">
                  <a16:creationId xmlns:a16="http://schemas.microsoft.com/office/drawing/2014/main" id="{1545DD9D-AD07-4C31-8BA2-CD8151134A61}"/>
                </a:ext>
              </a:extLst>
            </xdr:cNvPr>
            <xdr:cNvGraphicFramePr/>
          </xdr:nvGraphicFramePr>
          <xdr:xfrm>
            <a:off x="0" y="0"/>
            <a:ext cx="0" cy="0"/>
          </xdr:xfrm>
          <a:graphic>
            <a:graphicData uri="http://schemas.microsoft.com/office/drawing/2010/slicer">
              <sle:slicer xmlns:sle="http://schemas.microsoft.com/office/drawing/2010/slicer" name="RecruitingCostUSD 1"/>
            </a:graphicData>
          </a:graphic>
        </xdr:graphicFrame>
      </mc:Choice>
      <mc:Fallback xmlns="">
        <xdr:sp macro="" textlink="">
          <xdr:nvSpPr>
            <xdr:cNvPr id="0" name=""/>
            <xdr:cNvSpPr>
              <a:spLocks noTextEdit="1"/>
            </xdr:cNvSpPr>
          </xdr:nvSpPr>
          <xdr:spPr>
            <a:xfrm>
              <a:off x="2006600" y="641350"/>
              <a:ext cx="1828800" cy="6330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247650</xdr:colOff>
      <xdr:row>19</xdr:row>
      <xdr:rowOff>69850</xdr:rowOff>
    </xdr:from>
    <xdr:to>
      <xdr:col>12</xdr:col>
      <xdr:colOff>107950</xdr:colOff>
      <xdr:row>29</xdr:row>
      <xdr:rowOff>88900</xdr:rowOff>
    </xdr:to>
    <xdr:graphicFrame macro="">
      <xdr:nvGraphicFramePr>
        <xdr:cNvPr id="8" name="Chart 7">
          <a:extLst>
            <a:ext uri="{FF2B5EF4-FFF2-40B4-BE49-F238E27FC236}">
              <a16:creationId xmlns:a16="http://schemas.microsoft.com/office/drawing/2014/main" id="{77F2DF9F-6FE1-4534-AA0B-42BE64793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273050</xdr:colOff>
      <xdr:row>30</xdr:row>
      <xdr:rowOff>0</xdr:rowOff>
    </xdr:from>
    <xdr:to>
      <xdr:col>12</xdr:col>
      <xdr:colOff>127000</xdr:colOff>
      <xdr:row>38</xdr:row>
      <xdr:rowOff>133350</xdr:rowOff>
    </xdr:to>
    <xdr:graphicFrame macro="">
      <xdr:nvGraphicFramePr>
        <xdr:cNvPr id="9" name="Chart 8">
          <a:extLst>
            <a:ext uri="{FF2B5EF4-FFF2-40B4-BE49-F238E27FC236}">
              <a16:creationId xmlns:a16="http://schemas.microsoft.com/office/drawing/2014/main" id="{74D7289A-B167-4DFF-B845-B486930FAE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241300</xdr:colOff>
      <xdr:row>3</xdr:row>
      <xdr:rowOff>120650</xdr:rowOff>
    </xdr:from>
    <xdr:to>
      <xdr:col>19</xdr:col>
      <xdr:colOff>431799</xdr:colOff>
      <xdr:row>18</xdr:row>
      <xdr:rowOff>101600</xdr:rowOff>
    </xdr:to>
    <xdr:graphicFrame macro="">
      <xdr:nvGraphicFramePr>
        <xdr:cNvPr id="10" name="Chart 9">
          <a:extLst>
            <a:ext uri="{FF2B5EF4-FFF2-40B4-BE49-F238E27FC236}">
              <a16:creationId xmlns:a16="http://schemas.microsoft.com/office/drawing/2014/main" id="{5DA7D837-5242-4DF7-86BD-3A6B60FDE1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171450</xdr:colOff>
      <xdr:row>18</xdr:row>
      <xdr:rowOff>146050</xdr:rowOff>
    </xdr:from>
    <xdr:to>
      <xdr:col>19</xdr:col>
      <xdr:colOff>469900</xdr:colOff>
      <xdr:row>37</xdr:row>
      <xdr:rowOff>171450</xdr:rowOff>
    </xdr:to>
    <xdr:graphicFrame macro="">
      <xdr:nvGraphicFramePr>
        <xdr:cNvPr id="11" name="Chart 10">
          <a:extLst>
            <a:ext uri="{FF2B5EF4-FFF2-40B4-BE49-F238E27FC236}">
              <a16:creationId xmlns:a16="http://schemas.microsoft.com/office/drawing/2014/main" id="{D48B9F53-6106-4857-813D-59DF22D238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dhya S" refreshedDate="46313.607414351849" createdVersion="8" refreshedVersion="8" minRefreshableVersion="3" recordCount="160" xr:uid="{6731B4B8-7362-4B16-8004-9EE58382A78A}">
  <cacheSource type="worksheet">
    <worksheetSource ref="A1:P161" sheet="data"/>
  </cacheSource>
  <cacheFields count="16">
    <cacheField name="RequisitionID" numFmtId="0">
      <sharedItems/>
    </cacheField>
    <cacheField name="Department" numFmtId="0">
      <sharedItems count="10">
        <s v="Human Resources"/>
        <s v="Finance"/>
        <s v="Customer Support"/>
        <s v="Product"/>
        <s v="Sales"/>
        <s v="IT"/>
        <s v="Engineering"/>
        <s v="Legal"/>
        <s v="Marketing"/>
        <s v="Operations"/>
      </sharedItems>
    </cacheField>
    <cacheField name="JobTitle" numFmtId="0">
      <sharedItems count="40">
        <s v="HR Generalist"/>
        <s v="Financial Analyst"/>
        <s v="Senior Support Agent"/>
        <s v="Product Manager"/>
        <s v="Support Team Lead"/>
        <s v="Sales Manager"/>
        <s v="Director of Product"/>
        <s v="IT Manager"/>
        <s v="Engineering Manager"/>
        <s v="Corporate Counsel"/>
        <s v="Product Analyst"/>
        <s v="Marketing Specialist"/>
        <s v="HR Coordinator"/>
        <s v="Paralegal"/>
        <s v="HR Business Partner"/>
        <s v="Engineering Director"/>
        <s v="Operations Analyst"/>
        <s v="Sales Director"/>
        <s v="Senior PM"/>
        <s v="Finance Manager"/>
        <s v="Finance Director"/>
        <s v="IT Support Specialist"/>
        <s v="Marketing Manager"/>
        <s v="Senior Analyst"/>
        <s v="Senior Engineer"/>
        <s v="Operations Manager"/>
        <s v="HR Director"/>
        <s v="Marketing Coordinator"/>
        <s v="Software Engineer"/>
        <s v="Systems Administrator"/>
        <s v="Operations Associate"/>
        <s v="Sales Rep"/>
        <s v="Support Agent"/>
        <s v="Account Executive"/>
        <s v="Marketing Director"/>
        <s v="Operations Director"/>
        <s v="Legal Assistant"/>
        <s v="Support Manager"/>
        <s v="IT Director"/>
        <s v="Legal Director"/>
      </sharedItems>
    </cacheField>
    <cacheField name="DateOpened" numFmtId="164">
      <sharedItems containsSemiMixedTypes="0" containsNonDate="0" containsDate="1" containsString="0" minDate="2020-03-07T00:00:00" maxDate="2026-09-15T00:00:00"/>
    </cacheField>
    <cacheField name="DateFilled" numFmtId="0">
      <sharedItems containsNonDate="0" containsDate="1" containsString="0" containsBlank="1" minDate="2020-05-14T00:00:00" maxDate="2026-09-01T00:00:00"/>
    </cacheField>
    <cacheField name="RequisitionStatus" numFmtId="0">
      <sharedItems count="3">
        <s v="Filled"/>
        <s v="Open"/>
        <s v="Cancelled"/>
      </sharedItems>
    </cacheField>
    <cacheField name="SourceChannel" numFmtId="0">
      <sharedItems count="5">
        <s v="Job Board"/>
        <s v="Recruiting Agency"/>
        <s v="Career Site"/>
        <s v="Employee Referral"/>
        <s v="LinkedIn"/>
      </sharedItems>
    </cacheField>
    <cacheField name="NumApplicants" numFmtId="0">
      <sharedItems containsSemiMixedTypes="0" containsString="0" containsNumber="1" containsInteger="1" minValue="8" maxValue="120"/>
    </cacheField>
    <cacheField name="NumInterviewed" numFmtId="0">
      <sharedItems containsSemiMixedTypes="0" containsString="0" containsNumber="1" containsInteger="1" minValue="3" maxValue="20"/>
    </cacheField>
    <cacheField name="NumOffersMade" numFmtId="0">
      <sharedItems containsSemiMixedTypes="0" containsString="0" containsNumber="1" containsInteger="1" minValue="0" maxValue="2"/>
    </cacheField>
    <cacheField name="NumOffersAccepted" numFmtId="0">
      <sharedItems containsSemiMixedTypes="0" containsString="0" containsNumber="1" containsInteger="1" minValue="0" maxValue="1"/>
    </cacheField>
    <cacheField name="RecruitingCostUSD" numFmtId="165">
      <sharedItems containsSemiMixedTypes="0" containsString="0" containsNumber="1" containsInteger="1" minValue="662" maxValue="12325" count="157">
        <n v="2364"/>
        <n v="2496"/>
        <n v="11965"/>
        <n v="710"/>
        <n v="1910"/>
        <n v="1010"/>
        <n v="11028"/>
        <n v="1226"/>
        <n v="2793"/>
        <n v="1921"/>
        <n v="8489"/>
        <n v="2402"/>
        <n v="2325"/>
        <n v="1707"/>
        <n v="1579"/>
        <n v="4766"/>
        <n v="3899"/>
        <n v="2681"/>
        <n v="5160"/>
        <n v="2504"/>
        <n v="719"/>
        <n v="2806"/>
        <n v="9830"/>
        <n v="722"/>
        <n v="941"/>
        <n v="4415"/>
        <n v="1797"/>
        <n v="3951"/>
        <n v="10406"/>
        <n v="12319"/>
        <n v="1764"/>
        <n v="1484"/>
        <n v="2430"/>
        <n v="9608"/>
        <n v="1503"/>
        <n v="10290"/>
        <n v="1236"/>
        <n v="9976"/>
        <n v="9993"/>
        <n v="5375"/>
        <n v="2375"/>
        <n v="3963"/>
        <n v="1782"/>
        <n v="754"/>
        <n v="1473"/>
        <n v="2765"/>
        <n v="2129"/>
        <n v="7895"/>
        <n v="10458"/>
        <n v="8876"/>
        <n v="790"/>
        <n v="1508"/>
        <n v="8920"/>
        <n v="8833"/>
        <n v="1941"/>
        <n v="838"/>
        <n v="2310"/>
        <n v="1882"/>
        <n v="729"/>
        <n v="4720"/>
        <n v="5223"/>
        <n v="12303"/>
        <n v="971"/>
        <n v="5304"/>
        <n v="2606"/>
        <n v="1687"/>
        <n v="2566"/>
        <n v="12114"/>
        <n v="10393"/>
        <n v="4934"/>
        <n v="1438"/>
        <n v="2120"/>
        <n v="5219"/>
        <n v="4739"/>
        <n v="2709"/>
        <n v="771"/>
        <n v="1586"/>
        <n v="5695"/>
        <n v="883"/>
        <n v="1684"/>
        <n v="2281"/>
        <n v="1240"/>
        <n v="12126"/>
        <n v="9862"/>
        <n v="3604"/>
        <n v="750"/>
        <n v="4681"/>
        <n v="10637"/>
        <n v="898"/>
        <n v="915"/>
        <n v="985"/>
        <n v="2332"/>
        <n v="4387"/>
        <n v="1437"/>
        <n v="844"/>
        <n v="1854"/>
        <n v="2328"/>
        <n v="2452"/>
        <n v="10000"/>
        <n v="10918"/>
        <n v="4426"/>
        <n v="1441"/>
        <n v="12325"/>
        <n v="7823"/>
        <n v="8991"/>
        <n v="662"/>
        <n v="9504"/>
        <n v="2638"/>
        <n v="5035"/>
        <n v="4966"/>
        <n v="713"/>
        <n v="1820"/>
        <n v="12038"/>
        <n v="3879"/>
        <n v="926"/>
        <n v="10400"/>
        <n v="10691"/>
        <n v="1304"/>
        <n v="5537"/>
        <n v="4722"/>
        <n v="1932"/>
        <n v="1317"/>
        <n v="1527"/>
        <n v="2688"/>
        <n v="1388"/>
        <n v="2549"/>
        <n v="4607"/>
        <n v="1959"/>
        <n v="1028"/>
        <n v="1686"/>
        <n v="2464"/>
        <n v="5530"/>
        <n v="740"/>
        <n v="1475"/>
        <n v="5434"/>
        <n v="4511"/>
        <n v="676"/>
        <n v="811"/>
        <n v="1037"/>
        <n v="8900"/>
        <n v="5436"/>
        <n v="2727"/>
        <n v="2799"/>
        <n v="4985"/>
        <n v="1840"/>
        <n v="858"/>
        <n v="1016"/>
        <n v="998"/>
        <n v="1833"/>
        <n v="5125"/>
        <n v="4075"/>
        <n v="2613"/>
        <n v="2787"/>
        <n v="1277"/>
        <n v="2349"/>
        <n v="1661"/>
        <n v="9688"/>
      </sharedItems>
    </cacheField>
    <cacheField name="HiringManager" numFmtId="0">
      <sharedItems/>
    </cacheField>
    <cacheField name="CandidateExperienceScore" numFmtId="0">
      <sharedItems containsSemiMixedTypes="0" containsString="0" containsNumber="1" minValue="2.5" maxValue="5"/>
    </cacheField>
    <cacheField name="TimeToFillDays" numFmtId="1">
      <sharedItems containsMixedTypes="1" containsNumber="1" containsInteger="1" minValue="21" maxValue="75"/>
    </cacheField>
    <cacheField name="CostPerHire" numFmtId="165">
      <sharedItems containsMixedTypes="1" containsNumber="1" containsInteger="1" minValue="676" maxValue="12319" count="118">
        <n v="2364"/>
        <n v="2496"/>
        <s v=""/>
        <n v="710"/>
        <n v="1010"/>
        <n v="11028"/>
        <n v="2793"/>
        <n v="1921"/>
        <n v="8489"/>
        <n v="2402"/>
        <n v="2325"/>
        <n v="1579"/>
        <n v="4766"/>
        <n v="3899"/>
        <n v="2681"/>
        <n v="5160"/>
        <n v="719"/>
        <n v="2806"/>
        <n v="9830"/>
        <n v="722"/>
        <n v="4415"/>
        <n v="1797"/>
        <n v="3951"/>
        <n v="12319"/>
        <n v="1764"/>
        <n v="1484"/>
        <n v="9608"/>
        <n v="1503"/>
        <n v="10290"/>
        <n v="9976"/>
        <n v="5375"/>
        <n v="3963"/>
        <n v="754"/>
        <n v="1473"/>
        <n v="2765"/>
        <n v="2129"/>
        <n v="7895"/>
        <n v="10458"/>
        <n v="8876"/>
        <n v="790"/>
        <n v="8833"/>
        <n v="1941"/>
        <n v="838"/>
        <n v="2310"/>
        <n v="1882"/>
        <n v="729"/>
        <n v="4720"/>
        <n v="12303"/>
        <n v="971"/>
        <n v="2606"/>
        <n v="1687"/>
        <n v="2566"/>
        <n v="12114"/>
        <n v="1438"/>
        <n v="5219"/>
        <n v="2709"/>
        <n v="771"/>
        <n v="1586"/>
        <n v="883"/>
        <n v="1684"/>
        <n v="2281"/>
        <n v="1240"/>
        <n v="12126"/>
        <n v="9862"/>
        <n v="3604"/>
        <n v="750"/>
        <n v="10637"/>
        <n v="915"/>
        <n v="985"/>
        <n v="1437"/>
        <n v="844"/>
        <n v="1854"/>
        <n v="2328"/>
        <n v="2452"/>
        <n v="10918"/>
        <n v="4426"/>
        <n v="1441"/>
        <n v="7823"/>
        <n v="9504"/>
        <n v="2638"/>
        <n v="5035"/>
        <n v="4966"/>
        <n v="713"/>
        <n v="1820"/>
        <n v="12038"/>
        <n v="3879"/>
        <n v="926"/>
        <n v="10400"/>
        <n v="10691"/>
        <n v="1304"/>
        <n v="5537"/>
        <n v="4722"/>
        <n v="1932"/>
        <n v="1317"/>
        <n v="1527"/>
        <n v="2688"/>
        <n v="1388"/>
        <n v="2549"/>
        <n v="4607"/>
        <n v="1686"/>
        <n v="2464"/>
        <n v="1475"/>
        <n v="5434"/>
        <n v="676"/>
        <n v="1037"/>
        <n v="8900"/>
        <n v="5436"/>
        <n v="2799"/>
        <n v="4985"/>
        <n v="1016"/>
        <n v="998"/>
        <n v="1833"/>
        <n v="5125"/>
        <n v="4075"/>
        <n v="2613"/>
        <n v="2787"/>
        <n v="1661"/>
        <n v="9688"/>
      </sharedItems>
    </cacheField>
  </cacheFields>
  <extLst>
    <ext xmlns:x14="http://schemas.microsoft.com/office/spreadsheetml/2009/9/main" uri="{725AE2AE-9491-48be-B2B4-4EB974FC3084}">
      <x14:pivotCacheDefinition pivotCacheId="13513582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0">
  <r>
    <s v="REQ5000"/>
    <x v="0"/>
    <x v="0"/>
    <d v="2026-06-05T00:00:00"/>
    <d v="2026-07-08T00:00:00"/>
    <x v="0"/>
    <x v="0"/>
    <n v="82"/>
    <n v="18"/>
    <n v="1"/>
    <n v="1"/>
    <x v="0"/>
    <s v="E1018"/>
    <n v="2.6"/>
    <n v="33"/>
    <x v="0"/>
  </r>
  <r>
    <s v="REQ5001"/>
    <x v="1"/>
    <x v="1"/>
    <d v="2023-07-09T00:00:00"/>
    <d v="2023-08-01T00:00:00"/>
    <x v="0"/>
    <x v="0"/>
    <n v="92"/>
    <n v="3"/>
    <n v="2"/>
    <n v="1"/>
    <x v="1"/>
    <s v="E1039"/>
    <n v="3.4"/>
    <n v="23"/>
    <x v="1"/>
  </r>
  <r>
    <s v="REQ5002"/>
    <x v="2"/>
    <x v="2"/>
    <d v="2021-09-30T00:00:00"/>
    <m/>
    <x v="1"/>
    <x v="1"/>
    <n v="115"/>
    <n v="8"/>
    <n v="2"/>
    <n v="0"/>
    <x v="2"/>
    <s v="E1036"/>
    <n v="2.9"/>
    <s v=""/>
    <x v="2"/>
  </r>
  <r>
    <s v="REQ5003"/>
    <x v="3"/>
    <x v="3"/>
    <d v="2026-07-25T00:00:00"/>
    <d v="2026-08-19T00:00:00"/>
    <x v="0"/>
    <x v="2"/>
    <n v="66"/>
    <n v="10"/>
    <n v="2"/>
    <n v="1"/>
    <x v="3"/>
    <s v="E1020"/>
    <n v="4.5"/>
    <n v="25"/>
    <x v="3"/>
  </r>
  <r>
    <s v="REQ5004"/>
    <x v="2"/>
    <x v="4"/>
    <d v="2024-03-30T00:00:00"/>
    <m/>
    <x v="1"/>
    <x v="3"/>
    <n v="70"/>
    <n v="12"/>
    <n v="2"/>
    <n v="0"/>
    <x v="4"/>
    <s v="E1038"/>
    <n v="3.1"/>
    <s v=""/>
    <x v="2"/>
  </r>
  <r>
    <s v="REQ5005"/>
    <x v="4"/>
    <x v="5"/>
    <d v="2023-02-01T00:00:00"/>
    <d v="2023-03-11T00:00:00"/>
    <x v="0"/>
    <x v="2"/>
    <n v="100"/>
    <n v="9"/>
    <n v="1"/>
    <n v="1"/>
    <x v="5"/>
    <s v="E1025"/>
    <n v="3.9"/>
    <n v="38"/>
    <x v="4"/>
  </r>
  <r>
    <s v="REQ5006"/>
    <x v="3"/>
    <x v="6"/>
    <d v="2025-12-18T00:00:00"/>
    <d v="2026-02-15T00:00:00"/>
    <x v="0"/>
    <x v="1"/>
    <n v="54"/>
    <n v="15"/>
    <n v="1"/>
    <n v="1"/>
    <x v="6"/>
    <s v="E1020"/>
    <n v="2.5"/>
    <n v="59"/>
    <x v="5"/>
  </r>
  <r>
    <s v="REQ5007"/>
    <x v="5"/>
    <x v="7"/>
    <d v="2020-06-08T00:00:00"/>
    <m/>
    <x v="1"/>
    <x v="3"/>
    <n v="71"/>
    <n v="9"/>
    <n v="1"/>
    <n v="0"/>
    <x v="7"/>
    <s v="E1063"/>
    <n v="3.1"/>
    <s v=""/>
    <x v="2"/>
  </r>
  <r>
    <s v="REQ5008"/>
    <x v="6"/>
    <x v="8"/>
    <d v="2021-10-12T00:00:00"/>
    <d v="2021-12-14T00:00:00"/>
    <x v="0"/>
    <x v="0"/>
    <n v="75"/>
    <n v="10"/>
    <n v="1"/>
    <n v="1"/>
    <x v="8"/>
    <s v="E1035"/>
    <n v="4.5"/>
    <n v="63"/>
    <x v="6"/>
  </r>
  <r>
    <s v="REQ5009"/>
    <x v="5"/>
    <x v="7"/>
    <d v="2020-10-27T00:00:00"/>
    <d v="2020-12-11T00:00:00"/>
    <x v="0"/>
    <x v="0"/>
    <n v="83"/>
    <n v="11"/>
    <n v="1"/>
    <n v="1"/>
    <x v="9"/>
    <s v="E1024"/>
    <n v="5"/>
    <n v="45"/>
    <x v="7"/>
  </r>
  <r>
    <s v="REQ5010"/>
    <x v="7"/>
    <x v="9"/>
    <d v="2025-11-30T00:00:00"/>
    <d v="2025-12-27T00:00:00"/>
    <x v="0"/>
    <x v="1"/>
    <n v="74"/>
    <n v="3"/>
    <n v="2"/>
    <n v="1"/>
    <x v="10"/>
    <s v="E1058"/>
    <n v="2.7"/>
    <n v="27"/>
    <x v="8"/>
  </r>
  <r>
    <s v="REQ5011"/>
    <x v="3"/>
    <x v="10"/>
    <d v="2023-03-01T00:00:00"/>
    <d v="2023-05-05T00:00:00"/>
    <x v="0"/>
    <x v="0"/>
    <n v="54"/>
    <n v="18"/>
    <n v="1"/>
    <n v="1"/>
    <x v="11"/>
    <s v="E1051"/>
    <n v="3.9"/>
    <n v="65"/>
    <x v="9"/>
  </r>
  <r>
    <s v="REQ5012"/>
    <x v="8"/>
    <x v="11"/>
    <d v="2022-05-16T00:00:00"/>
    <d v="2022-06-15T00:00:00"/>
    <x v="0"/>
    <x v="0"/>
    <n v="23"/>
    <n v="3"/>
    <n v="1"/>
    <n v="1"/>
    <x v="12"/>
    <s v="E1029"/>
    <n v="3.2"/>
    <n v="30"/>
    <x v="10"/>
  </r>
  <r>
    <s v="REQ5013"/>
    <x v="0"/>
    <x v="12"/>
    <d v="2022-05-15T00:00:00"/>
    <m/>
    <x v="1"/>
    <x v="3"/>
    <n v="8"/>
    <n v="8"/>
    <n v="1"/>
    <n v="0"/>
    <x v="13"/>
    <s v="E1042"/>
    <n v="2.6"/>
    <s v=""/>
    <x v="2"/>
  </r>
  <r>
    <s v="REQ5014"/>
    <x v="0"/>
    <x v="12"/>
    <d v="2023-01-28T00:00:00"/>
    <d v="2023-03-24T00:00:00"/>
    <x v="0"/>
    <x v="3"/>
    <n v="87"/>
    <n v="19"/>
    <n v="1"/>
    <n v="1"/>
    <x v="14"/>
    <s v="E1044"/>
    <n v="3.6"/>
    <n v="55"/>
    <x v="11"/>
  </r>
  <r>
    <s v="REQ5015"/>
    <x v="7"/>
    <x v="13"/>
    <d v="2026-02-18T00:00:00"/>
    <d v="2026-05-01T00:00:00"/>
    <x v="0"/>
    <x v="4"/>
    <n v="80"/>
    <n v="19"/>
    <n v="1"/>
    <n v="1"/>
    <x v="15"/>
    <s v="E1057"/>
    <n v="4.5999999999999996"/>
    <n v="72"/>
    <x v="12"/>
  </r>
  <r>
    <s v="REQ5016"/>
    <x v="0"/>
    <x v="14"/>
    <d v="2022-10-12T00:00:00"/>
    <d v="2022-12-26T00:00:00"/>
    <x v="0"/>
    <x v="4"/>
    <n v="56"/>
    <n v="9"/>
    <n v="1"/>
    <n v="1"/>
    <x v="16"/>
    <s v="E1044"/>
    <n v="4.8"/>
    <n v="75"/>
    <x v="13"/>
  </r>
  <r>
    <s v="REQ5017"/>
    <x v="6"/>
    <x v="15"/>
    <d v="2026-05-24T00:00:00"/>
    <d v="2026-07-30T00:00:00"/>
    <x v="0"/>
    <x v="0"/>
    <n v="111"/>
    <n v="5"/>
    <n v="1"/>
    <n v="1"/>
    <x v="17"/>
    <s v="E1035"/>
    <n v="2.7"/>
    <n v="67"/>
    <x v="14"/>
  </r>
  <r>
    <s v="REQ5018"/>
    <x v="9"/>
    <x v="16"/>
    <d v="2023-05-17T00:00:00"/>
    <d v="2023-07-12T00:00:00"/>
    <x v="0"/>
    <x v="4"/>
    <n v="11"/>
    <n v="6"/>
    <n v="1"/>
    <n v="1"/>
    <x v="18"/>
    <s v="E1048"/>
    <n v="4.3"/>
    <n v="56"/>
    <x v="15"/>
  </r>
  <r>
    <s v="REQ5019"/>
    <x v="0"/>
    <x v="14"/>
    <d v="2024-10-13T00:00:00"/>
    <m/>
    <x v="1"/>
    <x v="0"/>
    <n v="43"/>
    <n v="13"/>
    <n v="2"/>
    <n v="0"/>
    <x v="19"/>
    <s v="E1044"/>
    <n v="3.4"/>
    <s v=""/>
    <x v="2"/>
  </r>
  <r>
    <s v="REQ5020"/>
    <x v="4"/>
    <x v="17"/>
    <d v="2022-04-17T00:00:00"/>
    <d v="2022-06-29T00:00:00"/>
    <x v="0"/>
    <x v="2"/>
    <n v="9"/>
    <n v="6"/>
    <n v="1"/>
    <n v="1"/>
    <x v="20"/>
    <s v="E1027"/>
    <n v="3.5"/>
    <n v="73"/>
    <x v="16"/>
  </r>
  <r>
    <s v="REQ5021"/>
    <x v="0"/>
    <x v="14"/>
    <d v="2023-11-18T00:00:00"/>
    <m/>
    <x v="1"/>
    <x v="0"/>
    <n v="117"/>
    <n v="18"/>
    <n v="1"/>
    <n v="1"/>
    <x v="21"/>
    <s v="E1043"/>
    <n v="3.2"/>
    <s v=""/>
    <x v="17"/>
  </r>
  <r>
    <s v="REQ5022"/>
    <x v="3"/>
    <x v="10"/>
    <d v="2022-07-03T00:00:00"/>
    <d v="2022-08-12T00:00:00"/>
    <x v="0"/>
    <x v="1"/>
    <n v="55"/>
    <n v="15"/>
    <n v="1"/>
    <n v="1"/>
    <x v="22"/>
    <s v="E1051"/>
    <n v="4.4000000000000004"/>
    <n v="40"/>
    <x v="18"/>
  </r>
  <r>
    <s v="REQ5023"/>
    <x v="3"/>
    <x v="18"/>
    <d v="2025-04-20T00:00:00"/>
    <m/>
    <x v="1"/>
    <x v="2"/>
    <n v="23"/>
    <n v="8"/>
    <n v="1"/>
    <n v="1"/>
    <x v="23"/>
    <s v="E1053"/>
    <n v="3.4"/>
    <s v=""/>
    <x v="19"/>
  </r>
  <r>
    <s v="REQ5024"/>
    <x v="3"/>
    <x v="18"/>
    <d v="2021-12-02T00:00:00"/>
    <m/>
    <x v="1"/>
    <x v="2"/>
    <n v="11"/>
    <n v="6"/>
    <n v="0"/>
    <n v="0"/>
    <x v="24"/>
    <s v="E1050"/>
    <n v="3.8"/>
    <s v=""/>
    <x v="2"/>
  </r>
  <r>
    <s v="REQ5025"/>
    <x v="1"/>
    <x v="19"/>
    <d v="2020-05-23T00:00:00"/>
    <d v="2020-07-30T00:00:00"/>
    <x v="0"/>
    <x v="4"/>
    <n v="93"/>
    <n v="14"/>
    <n v="2"/>
    <n v="1"/>
    <x v="25"/>
    <s v="E1041"/>
    <n v="3.4"/>
    <n v="68"/>
    <x v="20"/>
  </r>
  <r>
    <s v="REQ5026"/>
    <x v="0"/>
    <x v="12"/>
    <d v="2024-11-10T00:00:00"/>
    <d v="2024-12-19T00:00:00"/>
    <x v="0"/>
    <x v="3"/>
    <n v="88"/>
    <n v="7"/>
    <n v="1"/>
    <n v="1"/>
    <x v="26"/>
    <s v="E1042"/>
    <n v="4"/>
    <n v="39"/>
    <x v="21"/>
  </r>
  <r>
    <s v="REQ5027"/>
    <x v="1"/>
    <x v="20"/>
    <d v="2022-06-25T00:00:00"/>
    <d v="2022-08-10T00:00:00"/>
    <x v="0"/>
    <x v="4"/>
    <n v="91"/>
    <n v="10"/>
    <n v="1"/>
    <n v="1"/>
    <x v="27"/>
    <s v="E1016"/>
    <n v="3"/>
    <n v="46"/>
    <x v="22"/>
  </r>
  <r>
    <s v="REQ5028"/>
    <x v="5"/>
    <x v="21"/>
    <d v="2026-03-13T00:00:00"/>
    <m/>
    <x v="1"/>
    <x v="1"/>
    <n v="105"/>
    <n v="19"/>
    <n v="0"/>
    <n v="0"/>
    <x v="28"/>
    <s v="E1060"/>
    <n v="4"/>
    <s v=""/>
    <x v="2"/>
  </r>
  <r>
    <s v="REQ5029"/>
    <x v="8"/>
    <x v="11"/>
    <d v="2020-09-06T00:00:00"/>
    <d v="2020-10-26T00:00:00"/>
    <x v="0"/>
    <x v="1"/>
    <n v="49"/>
    <n v="14"/>
    <n v="1"/>
    <n v="1"/>
    <x v="29"/>
    <s v="E1013"/>
    <n v="4.5"/>
    <n v="50"/>
    <x v="23"/>
  </r>
  <r>
    <s v="REQ5030"/>
    <x v="8"/>
    <x v="22"/>
    <d v="2022-04-22T00:00:00"/>
    <d v="2022-06-23T00:00:00"/>
    <x v="0"/>
    <x v="3"/>
    <n v="99"/>
    <n v="9"/>
    <n v="2"/>
    <n v="1"/>
    <x v="30"/>
    <s v="E1032"/>
    <n v="4.8"/>
    <n v="62"/>
    <x v="24"/>
  </r>
  <r>
    <s v="REQ5031"/>
    <x v="1"/>
    <x v="23"/>
    <d v="2022-06-28T00:00:00"/>
    <d v="2022-08-26T00:00:00"/>
    <x v="0"/>
    <x v="3"/>
    <n v="81"/>
    <n v="10"/>
    <n v="2"/>
    <n v="1"/>
    <x v="31"/>
    <s v="E1016"/>
    <n v="5"/>
    <n v="59"/>
    <x v="25"/>
  </r>
  <r>
    <s v="REQ5032"/>
    <x v="6"/>
    <x v="24"/>
    <d v="2022-11-17T00:00:00"/>
    <m/>
    <x v="1"/>
    <x v="0"/>
    <n v="39"/>
    <n v="15"/>
    <n v="0"/>
    <n v="0"/>
    <x v="32"/>
    <s v="E1014"/>
    <n v="4"/>
    <s v=""/>
    <x v="2"/>
  </r>
  <r>
    <s v="REQ5033"/>
    <x v="9"/>
    <x v="25"/>
    <d v="2022-09-14T00:00:00"/>
    <d v="2022-11-27T00:00:00"/>
    <x v="0"/>
    <x v="1"/>
    <n v="101"/>
    <n v="9"/>
    <n v="1"/>
    <n v="1"/>
    <x v="33"/>
    <s v="E1049"/>
    <n v="4.4000000000000004"/>
    <n v="74"/>
    <x v="26"/>
  </r>
  <r>
    <s v="REQ5034"/>
    <x v="2"/>
    <x v="4"/>
    <d v="2022-04-16T00:00:00"/>
    <d v="2022-05-12T00:00:00"/>
    <x v="0"/>
    <x v="3"/>
    <n v="100"/>
    <n v="17"/>
    <n v="2"/>
    <n v="1"/>
    <x v="34"/>
    <s v="E1038"/>
    <n v="3"/>
    <n v="26"/>
    <x v="27"/>
  </r>
  <r>
    <s v="REQ5035"/>
    <x v="3"/>
    <x v="10"/>
    <d v="2020-09-08T00:00:00"/>
    <d v="2020-10-22T00:00:00"/>
    <x v="0"/>
    <x v="1"/>
    <n v="97"/>
    <n v="20"/>
    <n v="1"/>
    <n v="1"/>
    <x v="35"/>
    <s v="E1051"/>
    <n v="4.5"/>
    <n v="44"/>
    <x v="28"/>
  </r>
  <r>
    <s v="REQ5036"/>
    <x v="0"/>
    <x v="26"/>
    <d v="2020-08-09T00:00:00"/>
    <m/>
    <x v="2"/>
    <x v="3"/>
    <n v="109"/>
    <n v="13"/>
    <n v="1"/>
    <n v="0"/>
    <x v="36"/>
    <s v="E1043"/>
    <n v="3.3"/>
    <s v=""/>
    <x v="2"/>
  </r>
  <r>
    <s v="REQ5037"/>
    <x v="8"/>
    <x v="27"/>
    <d v="2022-11-23T00:00:00"/>
    <d v="2022-12-19T00:00:00"/>
    <x v="0"/>
    <x v="1"/>
    <n v="105"/>
    <n v="18"/>
    <n v="2"/>
    <n v="1"/>
    <x v="37"/>
    <s v="E1013"/>
    <n v="4.3"/>
    <n v="26"/>
    <x v="29"/>
  </r>
  <r>
    <s v="REQ5038"/>
    <x v="8"/>
    <x v="11"/>
    <d v="2022-07-17T00:00:00"/>
    <m/>
    <x v="1"/>
    <x v="1"/>
    <n v="116"/>
    <n v="6"/>
    <n v="1"/>
    <n v="0"/>
    <x v="38"/>
    <s v="E1012"/>
    <n v="4.8"/>
    <s v=""/>
    <x v="2"/>
  </r>
  <r>
    <s v="REQ5039"/>
    <x v="8"/>
    <x v="11"/>
    <d v="2026-09-03T00:00:00"/>
    <m/>
    <x v="1"/>
    <x v="4"/>
    <n v="36"/>
    <n v="14"/>
    <n v="1"/>
    <n v="1"/>
    <x v="39"/>
    <s v="E1012"/>
    <n v="2.5"/>
    <s v=""/>
    <x v="30"/>
  </r>
  <r>
    <s v="REQ5040"/>
    <x v="6"/>
    <x v="28"/>
    <d v="2024-12-13T00:00:00"/>
    <m/>
    <x v="1"/>
    <x v="0"/>
    <n v="105"/>
    <n v="11"/>
    <n v="0"/>
    <n v="0"/>
    <x v="40"/>
    <s v="E1034"/>
    <n v="2.8"/>
    <s v=""/>
    <x v="2"/>
  </r>
  <r>
    <s v="REQ5041"/>
    <x v="5"/>
    <x v="29"/>
    <d v="2023-10-29T00:00:00"/>
    <d v="2023-12-20T00:00:00"/>
    <x v="0"/>
    <x v="4"/>
    <n v="86"/>
    <n v="3"/>
    <n v="1"/>
    <n v="1"/>
    <x v="41"/>
    <s v="E1024"/>
    <n v="4.2"/>
    <n v="52"/>
    <x v="31"/>
  </r>
  <r>
    <s v="REQ5042"/>
    <x v="6"/>
    <x v="15"/>
    <d v="2025-12-20T00:00:00"/>
    <m/>
    <x v="1"/>
    <x v="3"/>
    <n v="39"/>
    <n v="8"/>
    <n v="0"/>
    <n v="0"/>
    <x v="42"/>
    <s v="E1033"/>
    <n v="3.2"/>
    <s v=""/>
    <x v="2"/>
  </r>
  <r>
    <s v="REQ5043"/>
    <x v="9"/>
    <x v="30"/>
    <d v="2023-03-01T00:00:00"/>
    <d v="2023-03-25T00:00:00"/>
    <x v="0"/>
    <x v="2"/>
    <n v="64"/>
    <n v="6"/>
    <n v="1"/>
    <n v="1"/>
    <x v="43"/>
    <s v="E1049"/>
    <n v="3.8"/>
    <n v="24"/>
    <x v="32"/>
  </r>
  <r>
    <s v="REQ5044"/>
    <x v="3"/>
    <x v="3"/>
    <d v="2026-09-14T00:00:00"/>
    <m/>
    <x v="1"/>
    <x v="3"/>
    <n v="118"/>
    <n v="4"/>
    <n v="1"/>
    <n v="1"/>
    <x v="44"/>
    <s v="E1050"/>
    <n v="3.6"/>
    <s v=""/>
    <x v="33"/>
  </r>
  <r>
    <s v="REQ5045"/>
    <x v="2"/>
    <x v="4"/>
    <d v="2025-03-05T00:00:00"/>
    <d v="2025-03-28T00:00:00"/>
    <x v="0"/>
    <x v="0"/>
    <n v="95"/>
    <n v="18"/>
    <n v="1"/>
    <n v="1"/>
    <x v="45"/>
    <s v="E1037"/>
    <n v="3.5"/>
    <n v="23"/>
    <x v="34"/>
  </r>
  <r>
    <s v="REQ5046"/>
    <x v="0"/>
    <x v="14"/>
    <d v="2020-04-02T00:00:00"/>
    <d v="2020-06-13T00:00:00"/>
    <x v="0"/>
    <x v="0"/>
    <n v="27"/>
    <n v="13"/>
    <n v="2"/>
    <n v="1"/>
    <x v="46"/>
    <s v="E1017"/>
    <n v="4.2"/>
    <n v="72"/>
    <x v="35"/>
  </r>
  <r>
    <s v="REQ5047"/>
    <x v="6"/>
    <x v="24"/>
    <d v="2022-07-03T00:00:00"/>
    <d v="2022-09-14T00:00:00"/>
    <x v="0"/>
    <x v="1"/>
    <n v="96"/>
    <n v="9"/>
    <n v="1"/>
    <n v="1"/>
    <x v="47"/>
    <s v="E1014"/>
    <n v="3.3"/>
    <n v="73"/>
    <x v="36"/>
  </r>
  <r>
    <s v="REQ5048"/>
    <x v="5"/>
    <x v="7"/>
    <d v="2021-07-04T00:00:00"/>
    <m/>
    <x v="2"/>
    <x v="1"/>
    <n v="22"/>
    <n v="18"/>
    <n v="1"/>
    <n v="1"/>
    <x v="48"/>
    <s v="E1059"/>
    <n v="3.5"/>
    <s v=""/>
    <x v="37"/>
  </r>
  <r>
    <s v="REQ5049"/>
    <x v="6"/>
    <x v="24"/>
    <d v="2024-03-03T00:00:00"/>
    <d v="2024-05-16T00:00:00"/>
    <x v="0"/>
    <x v="1"/>
    <n v="96"/>
    <n v="11"/>
    <n v="1"/>
    <n v="1"/>
    <x v="49"/>
    <s v="E1035"/>
    <n v="4.9000000000000004"/>
    <n v="74"/>
    <x v="38"/>
  </r>
  <r>
    <s v="REQ5050"/>
    <x v="3"/>
    <x v="10"/>
    <d v="2024-03-25T00:00:00"/>
    <d v="2024-04-21T00:00:00"/>
    <x v="0"/>
    <x v="2"/>
    <n v="81"/>
    <n v="4"/>
    <n v="1"/>
    <n v="1"/>
    <x v="50"/>
    <s v="E1051"/>
    <n v="3"/>
    <n v="27"/>
    <x v="39"/>
  </r>
  <r>
    <s v="REQ5051"/>
    <x v="9"/>
    <x v="30"/>
    <d v="2025-05-18T00:00:00"/>
    <m/>
    <x v="1"/>
    <x v="3"/>
    <n v="103"/>
    <n v="11"/>
    <n v="0"/>
    <n v="0"/>
    <x v="51"/>
    <s v="E1048"/>
    <n v="2.7"/>
    <s v=""/>
    <x v="2"/>
  </r>
  <r>
    <s v="REQ5052"/>
    <x v="5"/>
    <x v="21"/>
    <d v="2021-11-05T00:00:00"/>
    <m/>
    <x v="1"/>
    <x v="1"/>
    <n v="41"/>
    <n v="7"/>
    <n v="1"/>
    <n v="0"/>
    <x v="52"/>
    <s v="E1062"/>
    <n v="4"/>
    <s v=""/>
    <x v="2"/>
  </r>
  <r>
    <s v="REQ5053"/>
    <x v="6"/>
    <x v="8"/>
    <d v="2026-04-13T00:00:00"/>
    <d v="2026-06-03T00:00:00"/>
    <x v="0"/>
    <x v="1"/>
    <n v="53"/>
    <n v="10"/>
    <n v="1"/>
    <n v="1"/>
    <x v="53"/>
    <s v="E1034"/>
    <n v="3.7"/>
    <n v="51"/>
    <x v="40"/>
  </r>
  <r>
    <s v="REQ5054"/>
    <x v="2"/>
    <x v="2"/>
    <d v="2024-06-20T00:00:00"/>
    <d v="2024-07-18T00:00:00"/>
    <x v="0"/>
    <x v="3"/>
    <n v="24"/>
    <n v="10"/>
    <n v="1"/>
    <n v="1"/>
    <x v="54"/>
    <s v="E1015"/>
    <n v="3.3"/>
    <n v="28"/>
    <x v="41"/>
  </r>
  <r>
    <s v="REQ5055"/>
    <x v="1"/>
    <x v="19"/>
    <d v="2024-05-24T00:00:00"/>
    <d v="2024-07-12T00:00:00"/>
    <x v="0"/>
    <x v="2"/>
    <n v="17"/>
    <n v="14"/>
    <n v="1"/>
    <n v="1"/>
    <x v="55"/>
    <s v="E1016"/>
    <n v="3.1"/>
    <n v="49"/>
    <x v="42"/>
  </r>
  <r>
    <s v="REQ5056"/>
    <x v="7"/>
    <x v="13"/>
    <d v="2025-10-31T00:00:00"/>
    <d v="2025-11-28T00:00:00"/>
    <x v="0"/>
    <x v="0"/>
    <n v="76"/>
    <n v="20"/>
    <n v="1"/>
    <n v="1"/>
    <x v="56"/>
    <s v="E1056"/>
    <n v="5"/>
    <n v="28"/>
    <x v="43"/>
  </r>
  <r>
    <s v="REQ5057"/>
    <x v="3"/>
    <x v="3"/>
    <d v="2020-07-13T00:00:00"/>
    <d v="2020-08-25T00:00:00"/>
    <x v="0"/>
    <x v="3"/>
    <n v="36"/>
    <n v="9"/>
    <n v="2"/>
    <n v="1"/>
    <x v="57"/>
    <s v="E1053"/>
    <n v="2.7"/>
    <n v="43"/>
    <x v="44"/>
  </r>
  <r>
    <s v="REQ5058"/>
    <x v="8"/>
    <x v="27"/>
    <d v="2021-09-09T00:00:00"/>
    <d v="2021-10-30T00:00:00"/>
    <x v="0"/>
    <x v="2"/>
    <n v="102"/>
    <n v="10"/>
    <n v="1"/>
    <n v="1"/>
    <x v="58"/>
    <s v="E1013"/>
    <n v="4.9000000000000004"/>
    <n v="51"/>
    <x v="45"/>
  </r>
  <r>
    <s v="REQ5059"/>
    <x v="8"/>
    <x v="27"/>
    <d v="2021-07-06T00:00:00"/>
    <d v="2021-09-04T00:00:00"/>
    <x v="0"/>
    <x v="4"/>
    <n v="88"/>
    <n v="19"/>
    <n v="1"/>
    <n v="1"/>
    <x v="59"/>
    <s v="E1012"/>
    <n v="4.5999999999999996"/>
    <n v="60"/>
    <x v="46"/>
  </r>
  <r>
    <s v="REQ5060"/>
    <x v="5"/>
    <x v="7"/>
    <d v="2024-09-02T00:00:00"/>
    <m/>
    <x v="1"/>
    <x v="4"/>
    <n v="90"/>
    <n v="7"/>
    <n v="1"/>
    <n v="0"/>
    <x v="60"/>
    <s v="E1060"/>
    <n v="3.9"/>
    <s v=""/>
    <x v="2"/>
  </r>
  <r>
    <s v="REQ5061"/>
    <x v="6"/>
    <x v="8"/>
    <d v="2020-10-09T00:00:00"/>
    <d v="2020-12-09T00:00:00"/>
    <x v="0"/>
    <x v="1"/>
    <n v="35"/>
    <n v="12"/>
    <n v="2"/>
    <n v="1"/>
    <x v="61"/>
    <s v="E1035"/>
    <n v="4.4000000000000004"/>
    <n v="61"/>
    <x v="47"/>
  </r>
  <r>
    <s v="REQ5062"/>
    <x v="4"/>
    <x v="31"/>
    <d v="2021-01-28T00:00:00"/>
    <d v="2021-03-08T00:00:00"/>
    <x v="0"/>
    <x v="2"/>
    <n v="38"/>
    <n v="5"/>
    <n v="1"/>
    <n v="1"/>
    <x v="62"/>
    <s v="E1026"/>
    <n v="3.4"/>
    <n v="39"/>
    <x v="48"/>
  </r>
  <r>
    <s v="REQ5063"/>
    <x v="4"/>
    <x v="5"/>
    <d v="2024-11-22T00:00:00"/>
    <m/>
    <x v="1"/>
    <x v="4"/>
    <n v="94"/>
    <n v="8"/>
    <n v="1"/>
    <n v="0"/>
    <x v="63"/>
    <s v="E1011"/>
    <n v="3"/>
    <s v=""/>
    <x v="2"/>
  </r>
  <r>
    <s v="REQ5064"/>
    <x v="9"/>
    <x v="30"/>
    <d v="2023-11-15T00:00:00"/>
    <m/>
    <x v="1"/>
    <x v="0"/>
    <n v="73"/>
    <n v="18"/>
    <n v="2"/>
    <n v="1"/>
    <x v="64"/>
    <s v="E1049"/>
    <n v="2.6"/>
    <s v=""/>
    <x v="49"/>
  </r>
  <r>
    <s v="REQ5065"/>
    <x v="0"/>
    <x v="0"/>
    <d v="2025-08-09T00:00:00"/>
    <d v="2025-10-18T00:00:00"/>
    <x v="0"/>
    <x v="3"/>
    <n v="88"/>
    <n v="10"/>
    <n v="1"/>
    <n v="1"/>
    <x v="65"/>
    <s v="E1018"/>
    <n v="4.2"/>
    <n v="70"/>
    <x v="50"/>
  </r>
  <r>
    <s v="REQ5066"/>
    <x v="3"/>
    <x v="3"/>
    <d v="2022-05-24T00:00:00"/>
    <d v="2022-06-21T00:00:00"/>
    <x v="0"/>
    <x v="0"/>
    <n v="37"/>
    <n v="10"/>
    <n v="1"/>
    <n v="1"/>
    <x v="66"/>
    <s v="E1020"/>
    <n v="3.9"/>
    <n v="28"/>
    <x v="51"/>
  </r>
  <r>
    <s v="REQ5067"/>
    <x v="6"/>
    <x v="28"/>
    <d v="2020-06-18T00:00:00"/>
    <d v="2020-07-16T00:00:00"/>
    <x v="0"/>
    <x v="1"/>
    <n v="111"/>
    <n v="14"/>
    <n v="1"/>
    <n v="1"/>
    <x v="67"/>
    <s v="E1035"/>
    <n v="3"/>
    <n v="28"/>
    <x v="52"/>
  </r>
  <r>
    <s v="REQ5068"/>
    <x v="3"/>
    <x v="3"/>
    <d v="2020-03-07T00:00:00"/>
    <m/>
    <x v="1"/>
    <x v="1"/>
    <n v="87"/>
    <n v="11"/>
    <n v="0"/>
    <n v="0"/>
    <x v="68"/>
    <s v="E1050"/>
    <n v="5"/>
    <s v=""/>
    <x v="2"/>
  </r>
  <r>
    <s v="REQ5069"/>
    <x v="1"/>
    <x v="1"/>
    <d v="2024-03-13T00:00:00"/>
    <d v="2024-05-24T00:00:00"/>
    <x v="0"/>
    <x v="3"/>
    <n v="102"/>
    <n v="18"/>
    <n v="1"/>
    <n v="1"/>
    <x v="14"/>
    <s v="E1039"/>
    <n v="4.7"/>
    <n v="72"/>
    <x v="11"/>
  </r>
  <r>
    <s v="REQ5070"/>
    <x v="7"/>
    <x v="9"/>
    <d v="2022-07-21T00:00:00"/>
    <m/>
    <x v="1"/>
    <x v="4"/>
    <n v="69"/>
    <n v="13"/>
    <n v="2"/>
    <n v="0"/>
    <x v="69"/>
    <s v="E1058"/>
    <n v="4.0999999999999996"/>
    <s v=""/>
    <x v="2"/>
  </r>
  <r>
    <s v="REQ5071"/>
    <x v="2"/>
    <x v="32"/>
    <d v="2024-08-21T00:00:00"/>
    <m/>
    <x v="2"/>
    <x v="3"/>
    <n v="56"/>
    <n v="16"/>
    <n v="1"/>
    <n v="1"/>
    <x v="70"/>
    <s v="E1038"/>
    <n v="2.9"/>
    <s v=""/>
    <x v="53"/>
  </r>
  <r>
    <s v="REQ5072"/>
    <x v="4"/>
    <x v="17"/>
    <d v="2023-12-03T00:00:00"/>
    <m/>
    <x v="1"/>
    <x v="0"/>
    <n v="84"/>
    <n v="18"/>
    <n v="1"/>
    <n v="0"/>
    <x v="71"/>
    <s v="E1028"/>
    <n v="4.7"/>
    <s v=""/>
    <x v="2"/>
  </r>
  <r>
    <s v="REQ5073"/>
    <x v="8"/>
    <x v="11"/>
    <d v="2026-04-05T00:00:00"/>
    <d v="2026-06-13T00:00:00"/>
    <x v="0"/>
    <x v="4"/>
    <n v="86"/>
    <n v="6"/>
    <n v="2"/>
    <n v="1"/>
    <x v="72"/>
    <s v="E1031"/>
    <n v="3.1"/>
    <n v="69"/>
    <x v="54"/>
  </r>
  <r>
    <s v="REQ5074"/>
    <x v="3"/>
    <x v="10"/>
    <d v="2026-02-08T00:00:00"/>
    <m/>
    <x v="1"/>
    <x v="4"/>
    <n v="30"/>
    <n v="4"/>
    <n v="0"/>
    <n v="0"/>
    <x v="73"/>
    <s v="E1050"/>
    <n v="4.9000000000000004"/>
    <s v=""/>
    <x v="2"/>
  </r>
  <r>
    <s v="REQ5075"/>
    <x v="3"/>
    <x v="6"/>
    <d v="2020-07-09T00:00:00"/>
    <m/>
    <x v="1"/>
    <x v="0"/>
    <n v="49"/>
    <n v="10"/>
    <n v="1"/>
    <n v="1"/>
    <x v="74"/>
    <s v="E1050"/>
    <n v="3.5"/>
    <s v=""/>
    <x v="55"/>
  </r>
  <r>
    <s v="REQ5076"/>
    <x v="9"/>
    <x v="16"/>
    <d v="2021-08-28T00:00:00"/>
    <m/>
    <x v="1"/>
    <x v="2"/>
    <n v="50"/>
    <n v="20"/>
    <n v="1"/>
    <n v="1"/>
    <x v="75"/>
    <s v="E1047"/>
    <n v="3.4"/>
    <s v=""/>
    <x v="56"/>
  </r>
  <r>
    <s v="REQ5077"/>
    <x v="7"/>
    <x v="9"/>
    <d v="2026-07-03T00:00:00"/>
    <d v="2026-07-25T00:00:00"/>
    <x v="0"/>
    <x v="3"/>
    <n v="14"/>
    <n v="4"/>
    <n v="1"/>
    <n v="1"/>
    <x v="76"/>
    <s v="E1022"/>
    <n v="4"/>
    <n v="22"/>
    <x v="57"/>
  </r>
  <r>
    <s v="REQ5078"/>
    <x v="4"/>
    <x v="33"/>
    <d v="2026-09-01T00:00:00"/>
    <m/>
    <x v="1"/>
    <x v="4"/>
    <n v="78"/>
    <n v="9"/>
    <n v="1"/>
    <n v="0"/>
    <x v="77"/>
    <s v="E1025"/>
    <n v="4.0999999999999996"/>
    <s v=""/>
    <x v="2"/>
  </r>
  <r>
    <s v="REQ5079"/>
    <x v="6"/>
    <x v="15"/>
    <d v="2020-09-27T00:00:00"/>
    <d v="2020-10-29T00:00:00"/>
    <x v="0"/>
    <x v="2"/>
    <n v="9"/>
    <n v="5"/>
    <n v="1"/>
    <n v="1"/>
    <x v="78"/>
    <s v="E1033"/>
    <n v="3.1"/>
    <n v="32"/>
    <x v="58"/>
  </r>
  <r>
    <s v="REQ5080"/>
    <x v="9"/>
    <x v="25"/>
    <d v="2025-12-20T00:00:00"/>
    <d v="2026-02-02T00:00:00"/>
    <x v="0"/>
    <x v="3"/>
    <n v="81"/>
    <n v="12"/>
    <n v="1"/>
    <n v="1"/>
    <x v="79"/>
    <s v="E1049"/>
    <n v="2.7"/>
    <n v="44"/>
    <x v="59"/>
  </r>
  <r>
    <s v="REQ5081"/>
    <x v="3"/>
    <x v="18"/>
    <d v="2023-08-18T00:00:00"/>
    <d v="2023-10-18T00:00:00"/>
    <x v="0"/>
    <x v="0"/>
    <n v="50"/>
    <n v="13"/>
    <n v="1"/>
    <n v="1"/>
    <x v="80"/>
    <s v="E1052"/>
    <n v="4.7"/>
    <n v="61"/>
    <x v="60"/>
  </r>
  <r>
    <s v="REQ5082"/>
    <x v="4"/>
    <x v="33"/>
    <d v="2021-04-29T00:00:00"/>
    <d v="2021-07-10T00:00:00"/>
    <x v="0"/>
    <x v="3"/>
    <n v="36"/>
    <n v="6"/>
    <n v="1"/>
    <n v="1"/>
    <x v="81"/>
    <s v="E1025"/>
    <n v="3.1"/>
    <n v="72"/>
    <x v="61"/>
  </r>
  <r>
    <s v="REQ5083"/>
    <x v="0"/>
    <x v="0"/>
    <d v="2026-05-07T00:00:00"/>
    <d v="2026-06-29T00:00:00"/>
    <x v="0"/>
    <x v="1"/>
    <n v="94"/>
    <n v="3"/>
    <n v="1"/>
    <n v="1"/>
    <x v="82"/>
    <s v="E1017"/>
    <n v="3.9"/>
    <n v="53"/>
    <x v="62"/>
  </r>
  <r>
    <s v="REQ5084"/>
    <x v="5"/>
    <x v="21"/>
    <d v="2026-05-30T00:00:00"/>
    <d v="2026-07-31T00:00:00"/>
    <x v="0"/>
    <x v="1"/>
    <n v="60"/>
    <n v="9"/>
    <n v="1"/>
    <n v="1"/>
    <x v="83"/>
    <s v="E1062"/>
    <n v="4.0999999999999996"/>
    <n v="62"/>
    <x v="63"/>
  </r>
  <r>
    <s v="REQ5085"/>
    <x v="8"/>
    <x v="34"/>
    <d v="2026-02-22T00:00:00"/>
    <d v="2026-04-07T00:00:00"/>
    <x v="0"/>
    <x v="4"/>
    <n v="14"/>
    <n v="6"/>
    <n v="1"/>
    <n v="1"/>
    <x v="84"/>
    <s v="E1012"/>
    <n v="4.3"/>
    <n v="44"/>
    <x v="64"/>
  </r>
  <r>
    <s v="REQ5086"/>
    <x v="8"/>
    <x v="22"/>
    <d v="2021-04-09T00:00:00"/>
    <d v="2021-05-06T00:00:00"/>
    <x v="0"/>
    <x v="2"/>
    <n v="111"/>
    <n v="9"/>
    <n v="1"/>
    <n v="1"/>
    <x v="85"/>
    <s v="E1012"/>
    <n v="3.8"/>
    <n v="27"/>
    <x v="65"/>
  </r>
  <r>
    <s v="REQ5087"/>
    <x v="8"/>
    <x v="11"/>
    <d v="2022-08-11T00:00:00"/>
    <m/>
    <x v="2"/>
    <x v="4"/>
    <n v="48"/>
    <n v="10"/>
    <n v="1"/>
    <n v="0"/>
    <x v="86"/>
    <s v="E1013"/>
    <n v="2.8"/>
    <s v=""/>
    <x v="2"/>
  </r>
  <r>
    <s v="REQ5088"/>
    <x v="9"/>
    <x v="35"/>
    <d v="2022-05-12T00:00:00"/>
    <d v="2022-07-05T00:00:00"/>
    <x v="0"/>
    <x v="1"/>
    <n v="113"/>
    <n v="12"/>
    <n v="1"/>
    <n v="1"/>
    <x v="87"/>
    <s v="E1048"/>
    <n v="3.9"/>
    <n v="54"/>
    <x v="66"/>
  </r>
  <r>
    <s v="REQ5089"/>
    <x v="7"/>
    <x v="9"/>
    <d v="2021-02-20T00:00:00"/>
    <m/>
    <x v="1"/>
    <x v="2"/>
    <n v="46"/>
    <n v="12"/>
    <n v="0"/>
    <n v="0"/>
    <x v="88"/>
    <s v="E1054"/>
    <n v="2.6"/>
    <s v=""/>
    <x v="2"/>
  </r>
  <r>
    <s v="REQ5090"/>
    <x v="1"/>
    <x v="1"/>
    <d v="2025-05-10T00:00:00"/>
    <d v="2025-07-23T00:00:00"/>
    <x v="0"/>
    <x v="2"/>
    <n v="61"/>
    <n v="6"/>
    <n v="1"/>
    <n v="1"/>
    <x v="89"/>
    <s v="E1039"/>
    <n v="4.5"/>
    <n v="74"/>
    <x v="67"/>
  </r>
  <r>
    <s v="REQ5091"/>
    <x v="9"/>
    <x v="35"/>
    <d v="2021-03-30T00:00:00"/>
    <d v="2021-05-06T00:00:00"/>
    <x v="0"/>
    <x v="2"/>
    <n v="89"/>
    <n v="10"/>
    <n v="2"/>
    <n v="1"/>
    <x v="90"/>
    <s v="E1047"/>
    <n v="3.7"/>
    <n v="37"/>
    <x v="68"/>
  </r>
  <r>
    <s v="REQ5092"/>
    <x v="4"/>
    <x v="33"/>
    <d v="2024-10-17T00:00:00"/>
    <m/>
    <x v="1"/>
    <x v="0"/>
    <n v="23"/>
    <n v="14"/>
    <n v="0"/>
    <n v="0"/>
    <x v="91"/>
    <s v="E1028"/>
    <n v="3.7"/>
    <s v=""/>
    <x v="2"/>
  </r>
  <r>
    <s v="REQ5093"/>
    <x v="4"/>
    <x v="5"/>
    <d v="2020-06-01T00:00:00"/>
    <m/>
    <x v="1"/>
    <x v="4"/>
    <n v="113"/>
    <n v="4"/>
    <n v="1"/>
    <n v="0"/>
    <x v="92"/>
    <s v="E1028"/>
    <n v="4.2"/>
    <s v=""/>
    <x v="2"/>
  </r>
  <r>
    <s v="REQ5094"/>
    <x v="7"/>
    <x v="36"/>
    <d v="2024-08-26T00:00:00"/>
    <d v="2024-10-19T00:00:00"/>
    <x v="0"/>
    <x v="3"/>
    <n v="18"/>
    <n v="14"/>
    <n v="1"/>
    <n v="1"/>
    <x v="93"/>
    <s v="E1055"/>
    <n v="4"/>
    <n v="54"/>
    <x v="69"/>
  </r>
  <r>
    <s v="REQ5095"/>
    <x v="2"/>
    <x v="37"/>
    <d v="2022-01-23T00:00:00"/>
    <d v="2022-04-06T00:00:00"/>
    <x v="0"/>
    <x v="2"/>
    <n v="18"/>
    <n v="3"/>
    <n v="1"/>
    <n v="1"/>
    <x v="94"/>
    <s v="E1036"/>
    <n v="4.8"/>
    <n v="73"/>
    <x v="70"/>
  </r>
  <r>
    <s v="REQ5096"/>
    <x v="0"/>
    <x v="12"/>
    <d v="2022-04-30T00:00:00"/>
    <d v="2022-05-30T00:00:00"/>
    <x v="0"/>
    <x v="0"/>
    <n v="35"/>
    <n v="4"/>
    <n v="1"/>
    <n v="1"/>
    <x v="95"/>
    <s v="E1017"/>
    <n v="3.1"/>
    <n v="30"/>
    <x v="71"/>
  </r>
  <r>
    <s v="REQ5097"/>
    <x v="9"/>
    <x v="35"/>
    <d v="2024-06-10T00:00:00"/>
    <d v="2024-08-06T00:00:00"/>
    <x v="0"/>
    <x v="0"/>
    <n v="74"/>
    <n v="19"/>
    <n v="1"/>
    <n v="1"/>
    <x v="96"/>
    <s v="E1048"/>
    <n v="3"/>
    <n v="57"/>
    <x v="72"/>
  </r>
  <r>
    <s v="REQ5098"/>
    <x v="3"/>
    <x v="10"/>
    <d v="2021-10-07T00:00:00"/>
    <d v="2021-11-07T00:00:00"/>
    <x v="0"/>
    <x v="0"/>
    <n v="75"/>
    <n v="20"/>
    <n v="2"/>
    <n v="1"/>
    <x v="97"/>
    <s v="E1050"/>
    <n v="4.0999999999999996"/>
    <n v="31"/>
    <x v="73"/>
  </r>
  <r>
    <s v="REQ5099"/>
    <x v="2"/>
    <x v="37"/>
    <d v="2026-08-13T00:00:00"/>
    <m/>
    <x v="1"/>
    <x v="1"/>
    <n v="12"/>
    <n v="5"/>
    <n v="1"/>
    <n v="0"/>
    <x v="98"/>
    <s v="E1037"/>
    <n v="5"/>
    <s v=""/>
    <x v="2"/>
  </r>
  <r>
    <s v="REQ5100"/>
    <x v="1"/>
    <x v="19"/>
    <d v="2025-07-18T00:00:00"/>
    <d v="2025-09-29T00:00:00"/>
    <x v="0"/>
    <x v="1"/>
    <n v="15"/>
    <n v="3"/>
    <n v="1"/>
    <n v="1"/>
    <x v="99"/>
    <s v="E1039"/>
    <n v="4"/>
    <n v="73"/>
    <x v="74"/>
  </r>
  <r>
    <s v="REQ5101"/>
    <x v="9"/>
    <x v="30"/>
    <d v="2023-01-22T00:00:00"/>
    <m/>
    <x v="1"/>
    <x v="4"/>
    <n v="18"/>
    <n v="6"/>
    <n v="2"/>
    <n v="1"/>
    <x v="100"/>
    <s v="E1049"/>
    <n v="4.8"/>
    <s v=""/>
    <x v="75"/>
  </r>
  <r>
    <s v="REQ5102"/>
    <x v="3"/>
    <x v="18"/>
    <d v="2021-11-07T00:00:00"/>
    <d v="2021-12-01T00:00:00"/>
    <x v="0"/>
    <x v="3"/>
    <n v="21"/>
    <n v="3"/>
    <n v="1"/>
    <n v="1"/>
    <x v="101"/>
    <s v="E1050"/>
    <n v="3.9"/>
    <n v="24"/>
    <x v="76"/>
  </r>
  <r>
    <s v="REQ5103"/>
    <x v="3"/>
    <x v="10"/>
    <d v="2022-04-11T00:00:00"/>
    <m/>
    <x v="1"/>
    <x v="0"/>
    <n v="105"/>
    <n v="5"/>
    <n v="1"/>
    <n v="1"/>
    <x v="46"/>
    <s v="E1020"/>
    <n v="3.9"/>
    <s v=""/>
    <x v="35"/>
  </r>
  <r>
    <s v="REQ5104"/>
    <x v="9"/>
    <x v="16"/>
    <d v="2021-07-13T00:00:00"/>
    <m/>
    <x v="1"/>
    <x v="1"/>
    <n v="119"/>
    <n v="3"/>
    <n v="0"/>
    <n v="0"/>
    <x v="102"/>
    <s v="E1048"/>
    <n v="3.7"/>
    <s v=""/>
    <x v="2"/>
  </r>
  <r>
    <s v="REQ5105"/>
    <x v="4"/>
    <x v="5"/>
    <d v="2023-04-17T00:00:00"/>
    <d v="2023-05-21T00:00:00"/>
    <x v="0"/>
    <x v="1"/>
    <n v="98"/>
    <n v="15"/>
    <n v="1"/>
    <n v="1"/>
    <x v="103"/>
    <s v="E1027"/>
    <n v="2.7"/>
    <n v="34"/>
    <x v="77"/>
  </r>
  <r>
    <s v="REQ5106"/>
    <x v="8"/>
    <x v="34"/>
    <d v="2024-10-15T00:00:00"/>
    <m/>
    <x v="1"/>
    <x v="1"/>
    <n v="13"/>
    <n v="6"/>
    <n v="1"/>
    <n v="0"/>
    <x v="104"/>
    <s v="E1013"/>
    <n v="4.5999999999999996"/>
    <s v=""/>
    <x v="2"/>
  </r>
  <r>
    <s v="REQ5107"/>
    <x v="7"/>
    <x v="13"/>
    <d v="2025-11-24T00:00:00"/>
    <m/>
    <x v="1"/>
    <x v="2"/>
    <n v="26"/>
    <n v="16"/>
    <n v="2"/>
    <n v="0"/>
    <x v="105"/>
    <s v="E1022"/>
    <n v="4.9000000000000004"/>
    <s v=""/>
    <x v="2"/>
  </r>
  <r>
    <s v="REQ5108"/>
    <x v="6"/>
    <x v="28"/>
    <d v="2020-04-11T00:00:00"/>
    <d v="2020-05-14T00:00:00"/>
    <x v="0"/>
    <x v="1"/>
    <n v="14"/>
    <n v="11"/>
    <n v="1"/>
    <n v="1"/>
    <x v="106"/>
    <s v="E1035"/>
    <n v="3"/>
    <n v="33"/>
    <x v="78"/>
  </r>
  <r>
    <s v="REQ5109"/>
    <x v="5"/>
    <x v="21"/>
    <d v="2025-11-07T00:00:00"/>
    <d v="2025-12-31T00:00:00"/>
    <x v="0"/>
    <x v="0"/>
    <n v="50"/>
    <n v="3"/>
    <n v="1"/>
    <n v="1"/>
    <x v="107"/>
    <s v="E1024"/>
    <n v="4.0999999999999996"/>
    <n v="54"/>
    <x v="79"/>
  </r>
  <r>
    <s v="REQ5110"/>
    <x v="8"/>
    <x v="27"/>
    <d v="2023-08-08T00:00:00"/>
    <d v="2023-10-17T00:00:00"/>
    <x v="0"/>
    <x v="4"/>
    <n v="99"/>
    <n v="13"/>
    <n v="1"/>
    <n v="1"/>
    <x v="108"/>
    <s v="E1012"/>
    <n v="3.4"/>
    <n v="70"/>
    <x v="80"/>
  </r>
  <r>
    <s v="REQ5111"/>
    <x v="2"/>
    <x v="4"/>
    <d v="2023-11-18T00:00:00"/>
    <d v="2024-01-22T00:00:00"/>
    <x v="0"/>
    <x v="4"/>
    <n v="58"/>
    <n v="20"/>
    <n v="1"/>
    <n v="1"/>
    <x v="109"/>
    <s v="E1036"/>
    <n v="4.5999999999999996"/>
    <n v="65"/>
    <x v="81"/>
  </r>
  <r>
    <s v="REQ5112"/>
    <x v="4"/>
    <x v="5"/>
    <d v="2026-04-13T00:00:00"/>
    <d v="2026-06-13T00:00:00"/>
    <x v="0"/>
    <x v="2"/>
    <n v="38"/>
    <n v="5"/>
    <n v="1"/>
    <n v="1"/>
    <x v="110"/>
    <s v="E1025"/>
    <n v="3.6"/>
    <n v="61"/>
    <x v="82"/>
  </r>
  <r>
    <s v="REQ5113"/>
    <x v="2"/>
    <x v="2"/>
    <d v="2022-06-07T00:00:00"/>
    <d v="2022-07-21T00:00:00"/>
    <x v="0"/>
    <x v="3"/>
    <n v="103"/>
    <n v="12"/>
    <n v="1"/>
    <n v="1"/>
    <x v="111"/>
    <s v="E1015"/>
    <n v="4.3"/>
    <n v="44"/>
    <x v="83"/>
  </r>
  <r>
    <s v="REQ5114"/>
    <x v="6"/>
    <x v="15"/>
    <d v="2024-01-24T00:00:00"/>
    <d v="2024-02-22T00:00:00"/>
    <x v="0"/>
    <x v="1"/>
    <n v="58"/>
    <n v="17"/>
    <n v="1"/>
    <n v="1"/>
    <x v="112"/>
    <s v="E1033"/>
    <n v="3"/>
    <n v="29"/>
    <x v="84"/>
  </r>
  <r>
    <s v="REQ5115"/>
    <x v="5"/>
    <x v="38"/>
    <d v="2025-10-21T00:00:00"/>
    <d v="2025-12-21T00:00:00"/>
    <x v="0"/>
    <x v="4"/>
    <n v="11"/>
    <n v="3"/>
    <n v="1"/>
    <n v="1"/>
    <x v="113"/>
    <s v="E1024"/>
    <n v="2.6"/>
    <n v="61"/>
    <x v="85"/>
  </r>
  <r>
    <s v="REQ5116"/>
    <x v="7"/>
    <x v="9"/>
    <d v="2021-08-09T00:00:00"/>
    <d v="2021-09-14T00:00:00"/>
    <x v="0"/>
    <x v="2"/>
    <n v="41"/>
    <n v="18"/>
    <n v="1"/>
    <n v="1"/>
    <x v="114"/>
    <s v="E1056"/>
    <n v="3.8"/>
    <n v="36"/>
    <x v="86"/>
  </r>
  <r>
    <s v="REQ5117"/>
    <x v="4"/>
    <x v="33"/>
    <d v="2021-04-30T00:00:00"/>
    <d v="2021-06-26T00:00:00"/>
    <x v="0"/>
    <x v="1"/>
    <n v="29"/>
    <n v="16"/>
    <n v="1"/>
    <n v="1"/>
    <x v="115"/>
    <s v="E1011"/>
    <n v="2.6"/>
    <n v="57"/>
    <x v="87"/>
  </r>
  <r>
    <s v="REQ5118"/>
    <x v="2"/>
    <x v="2"/>
    <d v="2023-01-19T00:00:00"/>
    <d v="2023-02-22T00:00:00"/>
    <x v="0"/>
    <x v="1"/>
    <n v="44"/>
    <n v="20"/>
    <n v="2"/>
    <n v="1"/>
    <x v="116"/>
    <s v="E1037"/>
    <n v="3.5"/>
    <n v="34"/>
    <x v="88"/>
  </r>
  <r>
    <s v="REQ5119"/>
    <x v="6"/>
    <x v="28"/>
    <d v="2024-06-05T00:00:00"/>
    <d v="2024-08-16T00:00:00"/>
    <x v="0"/>
    <x v="3"/>
    <n v="120"/>
    <n v="14"/>
    <n v="1"/>
    <n v="1"/>
    <x v="117"/>
    <s v="E1014"/>
    <n v="4.5999999999999996"/>
    <n v="72"/>
    <x v="89"/>
  </r>
  <r>
    <s v="REQ5120"/>
    <x v="8"/>
    <x v="22"/>
    <d v="2021-03-21T00:00:00"/>
    <d v="2021-04-11T00:00:00"/>
    <x v="0"/>
    <x v="4"/>
    <n v="64"/>
    <n v="8"/>
    <n v="1"/>
    <n v="1"/>
    <x v="118"/>
    <s v="E1032"/>
    <n v="3.7"/>
    <n v="21"/>
    <x v="90"/>
  </r>
  <r>
    <s v="REQ5121"/>
    <x v="7"/>
    <x v="36"/>
    <d v="2021-01-20T00:00:00"/>
    <d v="2021-03-02T00:00:00"/>
    <x v="0"/>
    <x v="4"/>
    <n v="25"/>
    <n v="5"/>
    <n v="1"/>
    <n v="1"/>
    <x v="119"/>
    <s v="E1057"/>
    <n v="2.8"/>
    <n v="41"/>
    <x v="91"/>
  </r>
  <r>
    <s v="REQ5122"/>
    <x v="5"/>
    <x v="29"/>
    <d v="2026-03-03T00:00:00"/>
    <d v="2026-04-22T00:00:00"/>
    <x v="0"/>
    <x v="0"/>
    <n v="70"/>
    <n v="16"/>
    <n v="1"/>
    <n v="1"/>
    <x v="120"/>
    <s v="E1062"/>
    <n v="3.5"/>
    <n v="50"/>
    <x v="92"/>
  </r>
  <r>
    <s v="REQ5123"/>
    <x v="0"/>
    <x v="26"/>
    <d v="2022-11-03T00:00:00"/>
    <d v="2022-12-25T00:00:00"/>
    <x v="0"/>
    <x v="3"/>
    <n v="32"/>
    <n v="8"/>
    <n v="1"/>
    <n v="1"/>
    <x v="121"/>
    <s v="E1017"/>
    <n v="4.7"/>
    <n v="52"/>
    <x v="93"/>
  </r>
  <r>
    <s v="REQ5124"/>
    <x v="2"/>
    <x v="4"/>
    <d v="2026-07-17T00:00:00"/>
    <m/>
    <x v="1"/>
    <x v="2"/>
    <n v="15"/>
    <n v="9"/>
    <n v="1"/>
    <n v="0"/>
    <x v="114"/>
    <s v="E1015"/>
    <n v="3.2"/>
    <s v=""/>
    <x v="2"/>
  </r>
  <r>
    <s v="REQ5125"/>
    <x v="4"/>
    <x v="17"/>
    <d v="2026-04-22T00:00:00"/>
    <d v="2026-06-26T00:00:00"/>
    <x v="0"/>
    <x v="3"/>
    <n v="49"/>
    <n v="5"/>
    <n v="1"/>
    <n v="1"/>
    <x v="122"/>
    <s v="E1028"/>
    <n v="3.2"/>
    <n v="65"/>
    <x v="94"/>
  </r>
  <r>
    <s v="REQ5126"/>
    <x v="8"/>
    <x v="11"/>
    <d v="2026-03-13T00:00:00"/>
    <d v="2026-04-09T00:00:00"/>
    <x v="0"/>
    <x v="0"/>
    <n v="50"/>
    <n v="5"/>
    <n v="1"/>
    <n v="1"/>
    <x v="123"/>
    <s v="E1013"/>
    <n v="2.9"/>
    <n v="27"/>
    <x v="95"/>
  </r>
  <r>
    <s v="REQ5127"/>
    <x v="6"/>
    <x v="8"/>
    <d v="2026-06-28T00:00:00"/>
    <d v="2026-08-31T00:00:00"/>
    <x v="0"/>
    <x v="3"/>
    <n v="21"/>
    <n v="5"/>
    <n v="1"/>
    <n v="1"/>
    <x v="124"/>
    <s v="E1034"/>
    <n v="2.9"/>
    <n v="64"/>
    <x v="96"/>
  </r>
  <r>
    <s v="REQ5128"/>
    <x v="1"/>
    <x v="23"/>
    <d v="2025-09-05T00:00:00"/>
    <d v="2025-11-08T00:00:00"/>
    <x v="0"/>
    <x v="0"/>
    <n v="77"/>
    <n v="8"/>
    <n v="1"/>
    <n v="1"/>
    <x v="125"/>
    <s v="E1040"/>
    <n v="4.0999999999999996"/>
    <n v="64"/>
    <x v="97"/>
  </r>
  <r>
    <s v="REQ5129"/>
    <x v="4"/>
    <x v="33"/>
    <d v="2023-05-07T00:00:00"/>
    <d v="2023-06-21T00:00:00"/>
    <x v="0"/>
    <x v="4"/>
    <n v="58"/>
    <n v="7"/>
    <n v="2"/>
    <n v="1"/>
    <x v="126"/>
    <s v="E1025"/>
    <n v="4.7"/>
    <n v="45"/>
    <x v="98"/>
  </r>
  <r>
    <s v="REQ5130"/>
    <x v="5"/>
    <x v="29"/>
    <d v="2022-05-01T00:00:00"/>
    <m/>
    <x v="1"/>
    <x v="0"/>
    <n v="76"/>
    <n v="9"/>
    <n v="0"/>
    <n v="0"/>
    <x v="127"/>
    <s v="E1061"/>
    <n v="3"/>
    <s v=""/>
    <x v="2"/>
  </r>
  <r>
    <s v="REQ5131"/>
    <x v="5"/>
    <x v="7"/>
    <d v="2020-09-05T00:00:00"/>
    <m/>
    <x v="2"/>
    <x v="2"/>
    <n v="57"/>
    <n v="15"/>
    <n v="2"/>
    <n v="0"/>
    <x v="128"/>
    <s v="E1063"/>
    <n v="3.7"/>
    <s v=""/>
    <x v="2"/>
  </r>
  <r>
    <s v="REQ5132"/>
    <x v="0"/>
    <x v="0"/>
    <d v="2021-06-12T00:00:00"/>
    <d v="2021-07-19T00:00:00"/>
    <x v="0"/>
    <x v="3"/>
    <n v="28"/>
    <n v="18"/>
    <n v="1"/>
    <n v="1"/>
    <x v="129"/>
    <s v="E1018"/>
    <n v="2.6"/>
    <n v="37"/>
    <x v="99"/>
  </r>
  <r>
    <s v="REQ5133"/>
    <x v="1"/>
    <x v="23"/>
    <d v="2026-02-13T00:00:00"/>
    <d v="2026-04-29T00:00:00"/>
    <x v="0"/>
    <x v="0"/>
    <n v="117"/>
    <n v="10"/>
    <n v="2"/>
    <n v="1"/>
    <x v="130"/>
    <s v="E1039"/>
    <n v="4.5999999999999996"/>
    <n v="75"/>
    <x v="100"/>
  </r>
  <r>
    <s v="REQ5134"/>
    <x v="0"/>
    <x v="0"/>
    <d v="2026-04-19T00:00:00"/>
    <m/>
    <x v="1"/>
    <x v="4"/>
    <n v="104"/>
    <n v="7"/>
    <n v="1"/>
    <n v="0"/>
    <x v="131"/>
    <s v="E1018"/>
    <n v="4.9000000000000004"/>
    <s v=""/>
    <x v="2"/>
  </r>
  <r>
    <s v="REQ5135"/>
    <x v="8"/>
    <x v="11"/>
    <d v="2025-01-29T00:00:00"/>
    <m/>
    <x v="1"/>
    <x v="2"/>
    <n v="120"/>
    <n v="14"/>
    <n v="0"/>
    <n v="0"/>
    <x v="132"/>
    <s v="E1030"/>
    <n v="5"/>
    <s v=""/>
    <x v="2"/>
  </r>
  <r>
    <s v="REQ5136"/>
    <x v="9"/>
    <x v="30"/>
    <d v="2022-03-03T00:00:00"/>
    <d v="2022-05-05T00:00:00"/>
    <x v="0"/>
    <x v="3"/>
    <n v="91"/>
    <n v="7"/>
    <n v="1"/>
    <n v="1"/>
    <x v="133"/>
    <s v="E1047"/>
    <n v="3.1"/>
    <n v="63"/>
    <x v="101"/>
  </r>
  <r>
    <s v="REQ5137"/>
    <x v="9"/>
    <x v="35"/>
    <d v="2024-09-02T00:00:00"/>
    <d v="2024-10-13T00:00:00"/>
    <x v="0"/>
    <x v="4"/>
    <n v="92"/>
    <n v="17"/>
    <n v="1"/>
    <n v="1"/>
    <x v="134"/>
    <s v="E1047"/>
    <n v="2.9"/>
    <n v="41"/>
    <x v="102"/>
  </r>
  <r>
    <s v="REQ5138"/>
    <x v="7"/>
    <x v="9"/>
    <d v="2024-05-16T00:00:00"/>
    <m/>
    <x v="1"/>
    <x v="4"/>
    <n v="58"/>
    <n v="8"/>
    <n v="0"/>
    <n v="0"/>
    <x v="135"/>
    <s v="E1058"/>
    <n v="4.9000000000000004"/>
    <s v=""/>
    <x v="2"/>
  </r>
  <r>
    <s v="REQ5139"/>
    <x v="6"/>
    <x v="8"/>
    <d v="2025-03-16T00:00:00"/>
    <d v="2025-04-29T00:00:00"/>
    <x v="0"/>
    <x v="2"/>
    <n v="81"/>
    <n v="4"/>
    <n v="2"/>
    <n v="1"/>
    <x v="136"/>
    <s v="E1014"/>
    <n v="3.6"/>
    <n v="44"/>
    <x v="103"/>
  </r>
  <r>
    <s v="REQ5140"/>
    <x v="4"/>
    <x v="33"/>
    <d v="2021-10-02T00:00:00"/>
    <m/>
    <x v="1"/>
    <x v="2"/>
    <n v="76"/>
    <n v="18"/>
    <n v="0"/>
    <n v="0"/>
    <x v="137"/>
    <s v="E1028"/>
    <n v="4.9000000000000004"/>
    <s v=""/>
    <x v="2"/>
  </r>
  <r>
    <s v="REQ5141"/>
    <x v="5"/>
    <x v="29"/>
    <d v="2020-10-31T00:00:00"/>
    <m/>
    <x v="1"/>
    <x v="2"/>
    <n v="58"/>
    <n v="17"/>
    <n v="1"/>
    <n v="1"/>
    <x v="138"/>
    <s v="E1060"/>
    <n v="2.9"/>
    <s v=""/>
    <x v="104"/>
  </r>
  <r>
    <s v="REQ5142"/>
    <x v="7"/>
    <x v="39"/>
    <d v="2023-10-25T00:00:00"/>
    <d v="2023-11-15T00:00:00"/>
    <x v="0"/>
    <x v="1"/>
    <n v="91"/>
    <n v="17"/>
    <n v="1"/>
    <n v="1"/>
    <x v="139"/>
    <s v="E1054"/>
    <n v="4.8"/>
    <n v="21"/>
    <x v="105"/>
  </r>
  <r>
    <s v="REQ5143"/>
    <x v="9"/>
    <x v="16"/>
    <d v="2024-05-05T00:00:00"/>
    <d v="2024-07-04T00:00:00"/>
    <x v="0"/>
    <x v="4"/>
    <n v="70"/>
    <n v="13"/>
    <n v="2"/>
    <n v="1"/>
    <x v="140"/>
    <s v="E1048"/>
    <n v="3.1"/>
    <n v="60"/>
    <x v="106"/>
  </r>
  <r>
    <s v="REQ5144"/>
    <x v="6"/>
    <x v="28"/>
    <d v="2022-09-07T00:00:00"/>
    <m/>
    <x v="1"/>
    <x v="0"/>
    <n v="21"/>
    <n v="16"/>
    <n v="1"/>
    <n v="0"/>
    <x v="141"/>
    <s v="E1014"/>
    <n v="4.7"/>
    <s v=""/>
    <x v="2"/>
  </r>
  <r>
    <s v="REQ5145"/>
    <x v="4"/>
    <x v="31"/>
    <d v="2020-11-14T00:00:00"/>
    <d v="2021-01-22T00:00:00"/>
    <x v="0"/>
    <x v="0"/>
    <n v="113"/>
    <n v="19"/>
    <n v="1"/>
    <n v="1"/>
    <x v="142"/>
    <s v="E1011"/>
    <n v="3.2"/>
    <n v="69"/>
    <x v="107"/>
  </r>
  <r>
    <s v="REQ5146"/>
    <x v="4"/>
    <x v="33"/>
    <d v="2022-03-02T00:00:00"/>
    <m/>
    <x v="1"/>
    <x v="4"/>
    <n v="86"/>
    <n v="20"/>
    <n v="2"/>
    <n v="1"/>
    <x v="143"/>
    <s v="E1011"/>
    <n v="3.8"/>
    <s v=""/>
    <x v="108"/>
  </r>
  <r>
    <s v="REQ5147"/>
    <x v="2"/>
    <x v="32"/>
    <d v="2024-02-24T00:00:00"/>
    <m/>
    <x v="1"/>
    <x v="3"/>
    <n v="107"/>
    <n v="14"/>
    <n v="1"/>
    <n v="0"/>
    <x v="144"/>
    <s v="E1015"/>
    <n v="3"/>
    <s v=""/>
    <x v="2"/>
  </r>
  <r>
    <s v="REQ5148"/>
    <x v="9"/>
    <x v="25"/>
    <d v="2024-02-05T00:00:00"/>
    <m/>
    <x v="1"/>
    <x v="2"/>
    <n v="115"/>
    <n v="3"/>
    <n v="1"/>
    <n v="0"/>
    <x v="145"/>
    <s v="E1047"/>
    <n v="4.8"/>
    <s v=""/>
    <x v="2"/>
  </r>
  <r>
    <s v="REQ5149"/>
    <x v="3"/>
    <x v="10"/>
    <d v="2021-10-18T00:00:00"/>
    <d v="2021-11-10T00:00:00"/>
    <x v="0"/>
    <x v="2"/>
    <n v="13"/>
    <n v="7"/>
    <n v="2"/>
    <n v="1"/>
    <x v="146"/>
    <s v="E1020"/>
    <n v="4.0999999999999996"/>
    <n v="23"/>
    <x v="109"/>
  </r>
  <r>
    <s v="REQ5150"/>
    <x v="2"/>
    <x v="2"/>
    <d v="2020-06-03T00:00:00"/>
    <d v="2020-06-29T00:00:00"/>
    <x v="0"/>
    <x v="2"/>
    <n v="102"/>
    <n v="9"/>
    <n v="1"/>
    <n v="1"/>
    <x v="147"/>
    <s v="E1015"/>
    <n v="4.4000000000000004"/>
    <n v="26"/>
    <x v="110"/>
  </r>
  <r>
    <s v="REQ5151"/>
    <x v="3"/>
    <x v="3"/>
    <d v="2025-01-22T00:00:00"/>
    <m/>
    <x v="1"/>
    <x v="3"/>
    <n v="105"/>
    <n v="3"/>
    <n v="1"/>
    <n v="1"/>
    <x v="148"/>
    <s v="E1052"/>
    <n v="5"/>
    <s v=""/>
    <x v="111"/>
  </r>
  <r>
    <s v="REQ5152"/>
    <x v="9"/>
    <x v="25"/>
    <d v="2023-09-25T00:00:00"/>
    <m/>
    <x v="1"/>
    <x v="4"/>
    <n v="11"/>
    <n v="6"/>
    <n v="1"/>
    <n v="1"/>
    <x v="149"/>
    <s v="E1019"/>
    <n v="4"/>
    <s v=""/>
    <x v="112"/>
  </r>
  <r>
    <s v="REQ5153"/>
    <x v="2"/>
    <x v="2"/>
    <d v="2021-09-25T00:00:00"/>
    <d v="2021-10-24T00:00:00"/>
    <x v="0"/>
    <x v="4"/>
    <n v="55"/>
    <n v="7"/>
    <n v="1"/>
    <n v="1"/>
    <x v="150"/>
    <s v="E1038"/>
    <n v="4"/>
    <n v="29"/>
    <x v="113"/>
  </r>
  <r>
    <s v="REQ5154"/>
    <x v="0"/>
    <x v="14"/>
    <d v="2024-07-21T00:00:00"/>
    <d v="2024-09-16T00:00:00"/>
    <x v="0"/>
    <x v="0"/>
    <n v="21"/>
    <n v="3"/>
    <n v="1"/>
    <n v="1"/>
    <x v="151"/>
    <s v="E1043"/>
    <n v="3.2"/>
    <n v="57"/>
    <x v="114"/>
  </r>
  <r>
    <s v="REQ5155"/>
    <x v="8"/>
    <x v="22"/>
    <d v="2026-04-30T00:00:00"/>
    <d v="2026-07-12T00:00:00"/>
    <x v="0"/>
    <x v="0"/>
    <n v="16"/>
    <n v="10"/>
    <n v="1"/>
    <n v="1"/>
    <x v="152"/>
    <s v="E1029"/>
    <n v="4.5999999999999996"/>
    <n v="73"/>
    <x v="115"/>
  </r>
  <r>
    <s v="REQ5156"/>
    <x v="5"/>
    <x v="29"/>
    <d v="2026-07-05T00:00:00"/>
    <m/>
    <x v="1"/>
    <x v="3"/>
    <n v="45"/>
    <n v="15"/>
    <n v="1"/>
    <n v="0"/>
    <x v="153"/>
    <s v="E1061"/>
    <n v="4.2"/>
    <s v=""/>
    <x v="2"/>
  </r>
  <r>
    <s v="REQ5157"/>
    <x v="6"/>
    <x v="8"/>
    <d v="2021-05-23T00:00:00"/>
    <m/>
    <x v="1"/>
    <x v="0"/>
    <n v="51"/>
    <n v="16"/>
    <n v="0"/>
    <n v="0"/>
    <x v="154"/>
    <s v="E1035"/>
    <n v="4.5"/>
    <s v=""/>
    <x v="2"/>
  </r>
  <r>
    <s v="REQ5158"/>
    <x v="2"/>
    <x v="4"/>
    <d v="2020-04-14T00:00:00"/>
    <d v="2020-05-25T00:00:00"/>
    <x v="0"/>
    <x v="3"/>
    <n v="14"/>
    <n v="4"/>
    <n v="1"/>
    <n v="1"/>
    <x v="155"/>
    <s v="E1036"/>
    <n v="4.9000000000000004"/>
    <n v="41"/>
    <x v="116"/>
  </r>
  <r>
    <s v="REQ5159"/>
    <x v="9"/>
    <x v="30"/>
    <d v="2021-03-06T00:00:00"/>
    <d v="2021-03-28T00:00:00"/>
    <x v="0"/>
    <x v="1"/>
    <n v="62"/>
    <n v="17"/>
    <n v="1"/>
    <n v="1"/>
    <x v="156"/>
    <s v="E1049"/>
    <n v="2.6"/>
    <n v="22"/>
    <x v="1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5EA95A-1C41-4DBE-B687-8C3DBF0A025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16">
    <pivotField dataField="1" showAll="0"/>
    <pivotField axis="axisRow" showAll="0">
      <items count="11">
        <item x="2"/>
        <item x="6"/>
        <item x="1"/>
        <item x="0"/>
        <item x="5"/>
        <item x="7"/>
        <item x="8"/>
        <item x="9"/>
        <item x="3"/>
        <item x="4"/>
        <item t="default"/>
      </items>
    </pivotField>
    <pivotField showAll="0"/>
    <pivotField numFmtId="164" showAll="0"/>
    <pivotField showAll="0"/>
    <pivotField showAll="0">
      <items count="4">
        <item x="2"/>
        <item x="0"/>
        <item x="1"/>
        <item t="default"/>
      </items>
    </pivotField>
    <pivotField showAll="0">
      <items count="6">
        <item x="2"/>
        <item x="3"/>
        <item x="0"/>
        <item x="4"/>
        <item x="1"/>
        <item t="default"/>
      </items>
    </pivotField>
    <pivotField showAll="0"/>
    <pivotField showAll="0"/>
    <pivotField showAll="0"/>
    <pivotField showAll="0"/>
    <pivotField numFmtId="165" showAll="0">
      <items count="158">
        <item x="105"/>
        <item x="136"/>
        <item x="3"/>
        <item x="110"/>
        <item x="20"/>
        <item x="23"/>
        <item x="58"/>
        <item x="132"/>
        <item x="85"/>
        <item x="43"/>
        <item x="75"/>
        <item x="50"/>
        <item x="137"/>
        <item x="55"/>
        <item x="94"/>
        <item x="145"/>
        <item x="78"/>
        <item x="88"/>
        <item x="89"/>
        <item x="114"/>
        <item x="24"/>
        <item x="62"/>
        <item x="90"/>
        <item x="147"/>
        <item x="5"/>
        <item x="146"/>
        <item x="128"/>
        <item x="138"/>
        <item x="7"/>
        <item x="36"/>
        <item x="81"/>
        <item x="153"/>
        <item x="117"/>
        <item x="121"/>
        <item x="124"/>
        <item x="93"/>
        <item x="70"/>
        <item x="101"/>
        <item x="44"/>
        <item x="133"/>
        <item x="31"/>
        <item x="34"/>
        <item x="51"/>
        <item x="122"/>
        <item x="14"/>
        <item x="76"/>
        <item x="155"/>
        <item x="79"/>
        <item x="129"/>
        <item x="65"/>
        <item x="13"/>
        <item x="30"/>
        <item x="42"/>
        <item x="26"/>
        <item x="111"/>
        <item x="148"/>
        <item x="144"/>
        <item x="95"/>
        <item x="57"/>
        <item x="4"/>
        <item x="9"/>
        <item x="120"/>
        <item x="54"/>
        <item x="127"/>
        <item x="71"/>
        <item x="46"/>
        <item x="80"/>
        <item x="56"/>
        <item x="12"/>
        <item x="96"/>
        <item x="91"/>
        <item x="154"/>
        <item x="0"/>
        <item x="40"/>
        <item x="11"/>
        <item x="32"/>
        <item x="97"/>
        <item x="130"/>
        <item x="1"/>
        <item x="19"/>
        <item x="125"/>
        <item x="66"/>
        <item x="64"/>
        <item x="151"/>
        <item x="107"/>
        <item x="17"/>
        <item x="123"/>
        <item x="74"/>
        <item x="141"/>
        <item x="45"/>
        <item x="152"/>
        <item x="8"/>
        <item x="142"/>
        <item x="21"/>
        <item x="84"/>
        <item x="113"/>
        <item x="16"/>
        <item x="27"/>
        <item x="41"/>
        <item x="150"/>
        <item x="92"/>
        <item x="25"/>
        <item x="100"/>
        <item x="135"/>
        <item x="126"/>
        <item x="86"/>
        <item x="59"/>
        <item x="119"/>
        <item x="73"/>
        <item x="15"/>
        <item x="69"/>
        <item x="109"/>
        <item x="143"/>
        <item x="108"/>
        <item x="149"/>
        <item x="18"/>
        <item x="72"/>
        <item x="60"/>
        <item x="63"/>
        <item x="39"/>
        <item x="134"/>
        <item x="140"/>
        <item x="131"/>
        <item x="118"/>
        <item x="77"/>
        <item x="103"/>
        <item x="47"/>
        <item x="10"/>
        <item x="53"/>
        <item x="49"/>
        <item x="139"/>
        <item x="52"/>
        <item x="104"/>
        <item x="106"/>
        <item x="33"/>
        <item x="156"/>
        <item x="22"/>
        <item x="83"/>
        <item x="37"/>
        <item x="38"/>
        <item x="98"/>
        <item x="35"/>
        <item x="68"/>
        <item x="115"/>
        <item x="28"/>
        <item x="48"/>
        <item x="87"/>
        <item x="116"/>
        <item x="99"/>
        <item x="6"/>
        <item x="2"/>
        <item x="112"/>
        <item x="67"/>
        <item x="82"/>
        <item x="61"/>
        <item x="29"/>
        <item x="102"/>
        <item t="default"/>
      </items>
    </pivotField>
    <pivotField showAll="0"/>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Count of Requisition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759BB0-DFC5-4D75-802B-9BC4522EC31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6">
    <pivotField dataField="1" showAll="0"/>
    <pivotField showAll="0">
      <items count="11">
        <item x="2"/>
        <item x="6"/>
        <item x="1"/>
        <item x="0"/>
        <item x="5"/>
        <item x="7"/>
        <item x="8"/>
        <item x="9"/>
        <item x="3"/>
        <item x="4"/>
        <item t="default"/>
      </items>
    </pivotField>
    <pivotField showAll="0"/>
    <pivotField numFmtId="164" showAll="0"/>
    <pivotField showAll="0"/>
    <pivotField axis="axisRow" showAll="0">
      <items count="4">
        <item x="2"/>
        <item x="0"/>
        <item x="1"/>
        <item t="default"/>
      </items>
    </pivotField>
    <pivotField showAll="0">
      <items count="6">
        <item x="2"/>
        <item x="3"/>
        <item x="0"/>
        <item x="4"/>
        <item x="1"/>
        <item t="default"/>
      </items>
    </pivotField>
    <pivotField showAll="0"/>
    <pivotField showAll="0"/>
    <pivotField showAll="0"/>
    <pivotField showAll="0"/>
    <pivotField numFmtId="165" showAll="0">
      <items count="158">
        <item x="105"/>
        <item x="136"/>
        <item x="3"/>
        <item x="110"/>
        <item x="20"/>
        <item x="23"/>
        <item x="58"/>
        <item x="132"/>
        <item x="85"/>
        <item x="43"/>
        <item x="75"/>
        <item x="50"/>
        <item x="137"/>
        <item x="55"/>
        <item x="94"/>
        <item x="145"/>
        <item x="78"/>
        <item x="88"/>
        <item x="89"/>
        <item x="114"/>
        <item x="24"/>
        <item x="62"/>
        <item x="90"/>
        <item x="147"/>
        <item x="5"/>
        <item x="146"/>
        <item x="128"/>
        <item x="138"/>
        <item x="7"/>
        <item x="36"/>
        <item x="81"/>
        <item x="153"/>
        <item x="117"/>
        <item x="121"/>
        <item x="124"/>
        <item x="93"/>
        <item x="70"/>
        <item x="101"/>
        <item x="44"/>
        <item x="133"/>
        <item x="31"/>
        <item x="34"/>
        <item x="51"/>
        <item x="122"/>
        <item x="14"/>
        <item x="76"/>
        <item x="155"/>
        <item x="79"/>
        <item x="129"/>
        <item x="65"/>
        <item x="13"/>
        <item x="30"/>
        <item x="42"/>
        <item x="26"/>
        <item x="111"/>
        <item x="148"/>
        <item x="144"/>
        <item x="95"/>
        <item x="57"/>
        <item x="4"/>
        <item x="9"/>
        <item x="120"/>
        <item x="54"/>
        <item x="127"/>
        <item x="71"/>
        <item x="46"/>
        <item x="80"/>
        <item x="56"/>
        <item x="12"/>
        <item x="96"/>
        <item x="91"/>
        <item x="154"/>
        <item x="0"/>
        <item x="40"/>
        <item x="11"/>
        <item x="32"/>
        <item x="97"/>
        <item x="130"/>
        <item x="1"/>
        <item x="19"/>
        <item x="125"/>
        <item x="66"/>
        <item x="64"/>
        <item x="151"/>
        <item x="107"/>
        <item x="17"/>
        <item x="123"/>
        <item x="74"/>
        <item x="141"/>
        <item x="45"/>
        <item x="152"/>
        <item x="8"/>
        <item x="142"/>
        <item x="21"/>
        <item x="84"/>
        <item x="113"/>
        <item x="16"/>
        <item x="27"/>
        <item x="41"/>
        <item x="150"/>
        <item x="92"/>
        <item x="25"/>
        <item x="100"/>
        <item x="135"/>
        <item x="126"/>
        <item x="86"/>
        <item x="59"/>
        <item x="119"/>
        <item x="73"/>
        <item x="15"/>
        <item x="69"/>
        <item x="109"/>
        <item x="143"/>
        <item x="108"/>
        <item x="149"/>
        <item x="18"/>
        <item x="72"/>
        <item x="60"/>
        <item x="63"/>
        <item x="39"/>
        <item x="134"/>
        <item x="140"/>
        <item x="131"/>
        <item x="118"/>
        <item x="77"/>
        <item x="103"/>
        <item x="47"/>
        <item x="10"/>
        <item x="53"/>
        <item x="49"/>
        <item x="139"/>
        <item x="52"/>
        <item x="104"/>
        <item x="106"/>
        <item x="33"/>
        <item x="156"/>
        <item x="22"/>
        <item x="83"/>
        <item x="37"/>
        <item x="38"/>
        <item x="98"/>
        <item x="35"/>
        <item x="68"/>
        <item x="115"/>
        <item x="28"/>
        <item x="48"/>
        <item x="87"/>
        <item x="116"/>
        <item x="99"/>
        <item x="6"/>
        <item x="2"/>
        <item x="112"/>
        <item x="67"/>
        <item x="82"/>
        <item x="61"/>
        <item x="29"/>
        <item x="102"/>
        <item t="default"/>
      </items>
    </pivotField>
    <pivotField showAll="0"/>
    <pivotField showAll="0"/>
    <pivotField showAll="0"/>
    <pivotField showAll="0"/>
  </pivotFields>
  <rowFields count="1">
    <field x="5"/>
  </rowFields>
  <rowItems count="4">
    <i>
      <x/>
    </i>
    <i>
      <x v="1"/>
    </i>
    <i>
      <x v="2"/>
    </i>
    <i t="grand">
      <x/>
    </i>
  </rowItems>
  <colItems count="1">
    <i/>
  </colItems>
  <dataFields count="1">
    <dataField name="Count of RequisitionI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0CFAD2-FADD-4A48-8056-9402CC668F8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L10" firstHeaderRow="1" firstDataRow="2" firstDataCol="1"/>
  <pivotFields count="16">
    <pivotField dataField="1" showAll="0"/>
    <pivotField axis="axisCol" showAll="0">
      <items count="11">
        <item x="2"/>
        <item x="6"/>
        <item x="1"/>
        <item x="0"/>
        <item x="5"/>
        <item x="7"/>
        <item x="8"/>
        <item x="9"/>
        <item x="3"/>
        <item x="4"/>
        <item t="default"/>
      </items>
    </pivotField>
    <pivotField showAll="0"/>
    <pivotField numFmtId="164" showAll="0"/>
    <pivotField showAll="0"/>
    <pivotField showAll="0">
      <items count="4">
        <item x="2"/>
        <item x="0"/>
        <item x="1"/>
        <item t="default"/>
      </items>
    </pivotField>
    <pivotField axis="axisRow" showAll="0">
      <items count="6">
        <item x="2"/>
        <item x="3"/>
        <item x="0"/>
        <item x="4"/>
        <item x="1"/>
        <item t="default"/>
      </items>
    </pivotField>
    <pivotField showAll="0"/>
    <pivotField showAll="0"/>
    <pivotField showAll="0"/>
    <pivotField showAll="0"/>
    <pivotField numFmtId="165" showAll="0">
      <items count="158">
        <item x="105"/>
        <item x="136"/>
        <item x="3"/>
        <item x="110"/>
        <item x="20"/>
        <item x="23"/>
        <item x="58"/>
        <item x="132"/>
        <item x="85"/>
        <item x="43"/>
        <item x="75"/>
        <item x="50"/>
        <item x="137"/>
        <item x="55"/>
        <item x="94"/>
        <item x="145"/>
        <item x="78"/>
        <item x="88"/>
        <item x="89"/>
        <item x="114"/>
        <item x="24"/>
        <item x="62"/>
        <item x="90"/>
        <item x="147"/>
        <item x="5"/>
        <item x="146"/>
        <item x="128"/>
        <item x="138"/>
        <item x="7"/>
        <item x="36"/>
        <item x="81"/>
        <item x="153"/>
        <item x="117"/>
        <item x="121"/>
        <item x="124"/>
        <item x="93"/>
        <item x="70"/>
        <item x="101"/>
        <item x="44"/>
        <item x="133"/>
        <item x="31"/>
        <item x="34"/>
        <item x="51"/>
        <item x="122"/>
        <item x="14"/>
        <item x="76"/>
        <item x="155"/>
        <item x="79"/>
        <item x="129"/>
        <item x="65"/>
        <item x="13"/>
        <item x="30"/>
        <item x="42"/>
        <item x="26"/>
        <item x="111"/>
        <item x="148"/>
        <item x="144"/>
        <item x="95"/>
        <item x="57"/>
        <item x="4"/>
        <item x="9"/>
        <item x="120"/>
        <item x="54"/>
        <item x="127"/>
        <item x="71"/>
        <item x="46"/>
        <item x="80"/>
        <item x="56"/>
        <item x="12"/>
        <item x="96"/>
        <item x="91"/>
        <item x="154"/>
        <item x="0"/>
        <item x="40"/>
        <item x="11"/>
        <item x="32"/>
        <item x="97"/>
        <item x="130"/>
        <item x="1"/>
        <item x="19"/>
        <item x="125"/>
        <item x="66"/>
        <item x="64"/>
        <item x="151"/>
        <item x="107"/>
        <item x="17"/>
        <item x="123"/>
        <item x="74"/>
        <item x="141"/>
        <item x="45"/>
        <item x="152"/>
        <item x="8"/>
        <item x="142"/>
        <item x="21"/>
        <item x="84"/>
        <item x="113"/>
        <item x="16"/>
        <item x="27"/>
        <item x="41"/>
        <item x="150"/>
        <item x="92"/>
        <item x="25"/>
        <item x="100"/>
        <item x="135"/>
        <item x="126"/>
        <item x="86"/>
        <item x="59"/>
        <item x="119"/>
        <item x="73"/>
        <item x="15"/>
        <item x="69"/>
        <item x="109"/>
        <item x="143"/>
        <item x="108"/>
        <item x="149"/>
        <item x="18"/>
        <item x="72"/>
        <item x="60"/>
        <item x="63"/>
        <item x="39"/>
        <item x="134"/>
        <item x="140"/>
        <item x="131"/>
        <item x="118"/>
        <item x="77"/>
        <item x="103"/>
        <item x="47"/>
        <item x="10"/>
        <item x="53"/>
        <item x="49"/>
        <item x="139"/>
        <item x="52"/>
        <item x="104"/>
        <item x="106"/>
        <item x="33"/>
        <item x="156"/>
        <item x="22"/>
        <item x="83"/>
        <item x="37"/>
        <item x="38"/>
        <item x="98"/>
        <item x="35"/>
        <item x="68"/>
        <item x="115"/>
        <item x="28"/>
        <item x="48"/>
        <item x="87"/>
        <item x="116"/>
        <item x="99"/>
        <item x="6"/>
        <item x="2"/>
        <item x="112"/>
        <item x="67"/>
        <item x="82"/>
        <item x="61"/>
        <item x="29"/>
        <item x="102"/>
        <item t="default"/>
      </items>
    </pivotField>
    <pivotField showAll="0"/>
    <pivotField showAll="0"/>
    <pivotField showAll="0"/>
    <pivotField showAll="0"/>
  </pivotFields>
  <rowFields count="1">
    <field x="6"/>
  </rowFields>
  <rowItems count="6">
    <i>
      <x/>
    </i>
    <i>
      <x v="1"/>
    </i>
    <i>
      <x v="2"/>
    </i>
    <i>
      <x v="3"/>
    </i>
    <i>
      <x v="4"/>
    </i>
    <i t="grand">
      <x/>
    </i>
  </rowItems>
  <colFields count="1">
    <field x="1"/>
  </colFields>
  <colItems count="11">
    <i>
      <x/>
    </i>
    <i>
      <x v="1"/>
    </i>
    <i>
      <x v="2"/>
    </i>
    <i>
      <x v="3"/>
    </i>
    <i>
      <x v="4"/>
    </i>
    <i>
      <x v="5"/>
    </i>
    <i>
      <x v="6"/>
    </i>
    <i>
      <x v="7"/>
    </i>
    <i>
      <x v="8"/>
    </i>
    <i>
      <x v="9"/>
    </i>
    <i t="grand">
      <x/>
    </i>
  </colItems>
  <dataFields count="1">
    <dataField name="Count of RequisitionID" fld="0" subtotal="count" baseField="0" baseItem="0"/>
  </dataFields>
  <chartFormats count="22">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2"/>
          </reference>
        </references>
      </pivotArea>
    </chartFormat>
    <chartFormat chart="2" format="3" series="1">
      <pivotArea type="data" outline="0" fieldPosition="0">
        <references count="2">
          <reference field="4294967294" count="1" selected="0">
            <x v="0"/>
          </reference>
          <reference field="1" count="1" selected="0">
            <x v="3"/>
          </reference>
        </references>
      </pivotArea>
    </chartFormat>
    <chartFormat chart="2" format="4" series="1">
      <pivotArea type="data" outline="0" fieldPosition="0">
        <references count="2">
          <reference field="4294967294" count="1" selected="0">
            <x v="0"/>
          </reference>
          <reference field="1" count="1" selected="0">
            <x v="4"/>
          </reference>
        </references>
      </pivotArea>
    </chartFormat>
    <chartFormat chart="2" format="5" series="1">
      <pivotArea type="data" outline="0" fieldPosition="0">
        <references count="2">
          <reference field="4294967294" count="1" selected="0">
            <x v="0"/>
          </reference>
          <reference field="1" count="1" selected="0">
            <x v="5"/>
          </reference>
        </references>
      </pivotArea>
    </chartFormat>
    <chartFormat chart="2" format="6" series="1">
      <pivotArea type="data" outline="0" fieldPosition="0">
        <references count="2">
          <reference field="4294967294" count="1" selected="0">
            <x v="0"/>
          </reference>
          <reference field="1" count="1" selected="0">
            <x v="6"/>
          </reference>
        </references>
      </pivotArea>
    </chartFormat>
    <chartFormat chart="2" format="7" series="1">
      <pivotArea type="data" outline="0" fieldPosition="0">
        <references count="2">
          <reference field="4294967294" count="1" selected="0">
            <x v="0"/>
          </reference>
          <reference field="1" count="1" selected="0">
            <x v="7"/>
          </reference>
        </references>
      </pivotArea>
    </chartFormat>
    <chartFormat chart="2" format="8" series="1">
      <pivotArea type="data" outline="0" fieldPosition="0">
        <references count="2">
          <reference field="4294967294" count="1" selected="0">
            <x v="0"/>
          </reference>
          <reference field="1" count="1" selected="0">
            <x v="8"/>
          </reference>
        </references>
      </pivotArea>
    </chartFormat>
    <chartFormat chart="2" format="9" series="1">
      <pivotArea type="data" outline="0" fieldPosition="0">
        <references count="2">
          <reference field="4294967294" count="1" selected="0">
            <x v="0"/>
          </reference>
          <reference field="1" count="1" selected="0">
            <x v="9"/>
          </reference>
        </references>
      </pivotArea>
    </chartFormat>
    <chartFormat chart="5" format="20" series="1">
      <pivotArea type="data" outline="0" fieldPosition="0">
        <references count="2">
          <reference field="4294967294" count="1" selected="0">
            <x v="0"/>
          </reference>
          <reference field="1" count="1" selected="0">
            <x v="0"/>
          </reference>
        </references>
      </pivotArea>
    </chartFormat>
    <chartFormat chart="5" format="21" series="1">
      <pivotArea type="data" outline="0" fieldPosition="0">
        <references count="2">
          <reference field="4294967294" count="1" selected="0">
            <x v="0"/>
          </reference>
          <reference field="1" count="1" selected="0">
            <x v="1"/>
          </reference>
        </references>
      </pivotArea>
    </chartFormat>
    <chartFormat chart="5" format="22" series="1">
      <pivotArea type="data" outline="0" fieldPosition="0">
        <references count="2">
          <reference field="4294967294" count="1" selected="0">
            <x v="0"/>
          </reference>
          <reference field="1" count="1" selected="0">
            <x v="2"/>
          </reference>
        </references>
      </pivotArea>
    </chartFormat>
    <chartFormat chart="5" format="23" series="1">
      <pivotArea type="data" outline="0" fieldPosition="0">
        <references count="2">
          <reference field="4294967294" count="1" selected="0">
            <x v="0"/>
          </reference>
          <reference field="1" count="1" selected="0">
            <x v="3"/>
          </reference>
        </references>
      </pivotArea>
    </chartFormat>
    <chartFormat chart="5" format="24" series="1">
      <pivotArea type="data" outline="0" fieldPosition="0">
        <references count="2">
          <reference field="4294967294" count="1" selected="0">
            <x v="0"/>
          </reference>
          <reference field="1" count="1" selected="0">
            <x v="4"/>
          </reference>
        </references>
      </pivotArea>
    </chartFormat>
    <chartFormat chart="5" format="25" series="1">
      <pivotArea type="data" outline="0" fieldPosition="0">
        <references count="2">
          <reference field="4294967294" count="1" selected="0">
            <x v="0"/>
          </reference>
          <reference field="1" count="1" selected="0">
            <x v="5"/>
          </reference>
        </references>
      </pivotArea>
    </chartFormat>
    <chartFormat chart="5" format="26" series="1">
      <pivotArea type="data" outline="0" fieldPosition="0">
        <references count="2">
          <reference field="4294967294" count="1" selected="0">
            <x v="0"/>
          </reference>
          <reference field="1" count="1" selected="0">
            <x v="6"/>
          </reference>
        </references>
      </pivotArea>
    </chartFormat>
    <chartFormat chart="5" format="27" series="1">
      <pivotArea type="data" outline="0" fieldPosition="0">
        <references count="2">
          <reference field="4294967294" count="1" selected="0">
            <x v="0"/>
          </reference>
          <reference field="1" count="1" selected="0">
            <x v="7"/>
          </reference>
        </references>
      </pivotArea>
    </chartFormat>
    <chartFormat chart="5" format="28" series="1">
      <pivotArea type="data" outline="0" fieldPosition="0">
        <references count="2">
          <reference field="4294967294" count="1" selected="0">
            <x v="0"/>
          </reference>
          <reference field="1" count="1" selected="0">
            <x v="8"/>
          </reference>
        </references>
      </pivotArea>
    </chartFormat>
    <chartFormat chart="5" format="29" series="1">
      <pivotArea type="data" outline="0" fieldPosition="0">
        <references count="2">
          <reference field="4294967294" count="1" selected="0">
            <x v="0"/>
          </reference>
          <reference field="1" count="1" selected="0">
            <x v="9"/>
          </reference>
        </references>
      </pivotArea>
    </chartFormat>
    <chartFormat chart="5" format="30"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822CB0-768D-4BCA-B10D-47E89584C1E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16">
    <pivotField showAll="0"/>
    <pivotField axis="axisRow" showAll="0">
      <items count="11">
        <item x="2"/>
        <item x="6"/>
        <item x="1"/>
        <item x="0"/>
        <item x="5"/>
        <item x="7"/>
        <item x="8"/>
        <item x="9"/>
        <item x="3"/>
        <item x="4"/>
        <item t="default"/>
      </items>
    </pivotField>
    <pivotField showAll="0"/>
    <pivotField numFmtId="164" showAll="0"/>
    <pivotField showAll="0"/>
    <pivotField showAll="0">
      <items count="4">
        <item x="2"/>
        <item x="0"/>
        <item x="1"/>
        <item t="default"/>
      </items>
    </pivotField>
    <pivotField showAll="0">
      <items count="6">
        <item x="2"/>
        <item x="3"/>
        <item x="0"/>
        <item x="4"/>
        <item x="1"/>
        <item t="default"/>
      </items>
    </pivotField>
    <pivotField showAll="0"/>
    <pivotField showAll="0"/>
    <pivotField showAll="0"/>
    <pivotField showAll="0"/>
    <pivotField dataField="1" numFmtId="165" showAll="0">
      <items count="158">
        <item x="105"/>
        <item x="136"/>
        <item x="3"/>
        <item x="110"/>
        <item x="20"/>
        <item x="23"/>
        <item x="58"/>
        <item x="132"/>
        <item x="85"/>
        <item x="43"/>
        <item x="75"/>
        <item x="50"/>
        <item x="137"/>
        <item x="55"/>
        <item x="94"/>
        <item x="145"/>
        <item x="78"/>
        <item x="88"/>
        <item x="89"/>
        <item x="114"/>
        <item x="24"/>
        <item x="62"/>
        <item x="90"/>
        <item x="147"/>
        <item x="5"/>
        <item x="146"/>
        <item x="128"/>
        <item x="138"/>
        <item x="7"/>
        <item x="36"/>
        <item x="81"/>
        <item x="153"/>
        <item x="117"/>
        <item x="121"/>
        <item x="124"/>
        <item x="93"/>
        <item x="70"/>
        <item x="101"/>
        <item x="44"/>
        <item x="133"/>
        <item x="31"/>
        <item x="34"/>
        <item x="51"/>
        <item x="122"/>
        <item x="14"/>
        <item x="76"/>
        <item x="155"/>
        <item x="79"/>
        <item x="129"/>
        <item x="65"/>
        <item x="13"/>
        <item x="30"/>
        <item x="42"/>
        <item x="26"/>
        <item x="111"/>
        <item x="148"/>
        <item x="144"/>
        <item x="95"/>
        <item x="57"/>
        <item x="4"/>
        <item x="9"/>
        <item x="120"/>
        <item x="54"/>
        <item x="127"/>
        <item x="71"/>
        <item x="46"/>
        <item x="80"/>
        <item x="56"/>
        <item x="12"/>
        <item x="96"/>
        <item x="91"/>
        <item x="154"/>
        <item x="0"/>
        <item x="40"/>
        <item x="11"/>
        <item x="32"/>
        <item x="97"/>
        <item x="130"/>
        <item x="1"/>
        <item x="19"/>
        <item x="125"/>
        <item x="66"/>
        <item x="64"/>
        <item x="151"/>
        <item x="107"/>
        <item x="17"/>
        <item x="123"/>
        <item x="74"/>
        <item x="141"/>
        <item x="45"/>
        <item x="152"/>
        <item x="8"/>
        <item x="142"/>
        <item x="21"/>
        <item x="84"/>
        <item x="113"/>
        <item x="16"/>
        <item x="27"/>
        <item x="41"/>
        <item x="150"/>
        <item x="92"/>
        <item x="25"/>
        <item x="100"/>
        <item x="135"/>
        <item x="126"/>
        <item x="86"/>
        <item x="59"/>
        <item x="119"/>
        <item x="73"/>
        <item x="15"/>
        <item x="69"/>
        <item x="109"/>
        <item x="143"/>
        <item x="108"/>
        <item x="149"/>
        <item x="18"/>
        <item x="72"/>
        <item x="60"/>
        <item x="63"/>
        <item x="39"/>
        <item x="134"/>
        <item x="140"/>
        <item x="131"/>
        <item x="118"/>
        <item x="77"/>
        <item x="103"/>
        <item x="47"/>
        <item x="10"/>
        <item x="53"/>
        <item x="49"/>
        <item x="139"/>
        <item x="52"/>
        <item x="104"/>
        <item x="106"/>
        <item x="33"/>
        <item x="156"/>
        <item x="22"/>
        <item x="83"/>
        <item x="37"/>
        <item x="38"/>
        <item x="98"/>
        <item x="35"/>
        <item x="68"/>
        <item x="115"/>
        <item x="28"/>
        <item x="48"/>
        <item x="87"/>
        <item x="116"/>
        <item x="99"/>
        <item x="6"/>
        <item x="2"/>
        <item x="112"/>
        <item x="67"/>
        <item x="82"/>
        <item x="61"/>
        <item x="29"/>
        <item x="102"/>
        <item t="default"/>
      </items>
    </pivotField>
    <pivotField showAll="0"/>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Sum of RecruitingCostUSD" fld="11" baseField="0" baseItem="0" numFmtId="165"/>
  </dataFields>
  <chartFormats count="2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 count="1" selected="0">
            <x v="0"/>
          </reference>
        </references>
      </pivotArea>
    </chartFormat>
    <chartFormat chart="4" format="3">
      <pivotArea type="data" outline="0" fieldPosition="0">
        <references count="2">
          <reference field="4294967294" count="1" selected="0">
            <x v="0"/>
          </reference>
          <reference field="1" count="1" selected="0">
            <x v="1"/>
          </reference>
        </references>
      </pivotArea>
    </chartFormat>
    <chartFormat chart="4" format="4">
      <pivotArea type="data" outline="0" fieldPosition="0">
        <references count="2">
          <reference field="4294967294" count="1" selected="0">
            <x v="0"/>
          </reference>
          <reference field="1" count="1" selected="0">
            <x v="2"/>
          </reference>
        </references>
      </pivotArea>
    </chartFormat>
    <chartFormat chart="4" format="5">
      <pivotArea type="data" outline="0" fieldPosition="0">
        <references count="2">
          <reference field="4294967294" count="1" selected="0">
            <x v="0"/>
          </reference>
          <reference field="1" count="1" selected="0">
            <x v="3"/>
          </reference>
        </references>
      </pivotArea>
    </chartFormat>
    <chartFormat chart="4" format="6">
      <pivotArea type="data" outline="0" fieldPosition="0">
        <references count="2">
          <reference field="4294967294" count="1" selected="0">
            <x v="0"/>
          </reference>
          <reference field="1" count="1" selected="0">
            <x v="4"/>
          </reference>
        </references>
      </pivotArea>
    </chartFormat>
    <chartFormat chart="4" format="7">
      <pivotArea type="data" outline="0" fieldPosition="0">
        <references count="2">
          <reference field="4294967294" count="1" selected="0">
            <x v="0"/>
          </reference>
          <reference field="1" count="1" selected="0">
            <x v="5"/>
          </reference>
        </references>
      </pivotArea>
    </chartFormat>
    <chartFormat chart="4" format="8">
      <pivotArea type="data" outline="0" fieldPosition="0">
        <references count="2">
          <reference field="4294967294" count="1" selected="0">
            <x v="0"/>
          </reference>
          <reference field="1" count="1" selected="0">
            <x v="6"/>
          </reference>
        </references>
      </pivotArea>
    </chartFormat>
    <chartFormat chart="4" format="9">
      <pivotArea type="data" outline="0" fieldPosition="0">
        <references count="2">
          <reference field="4294967294" count="1" selected="0">
            <x v="0"/>
          </reference>
          <reference field="1" count="1" selected="0">
            <x v="7"/>
          </reference>
        </references>
      </pivotArea>
    </chartFormat>
    <chartFormat chart="4" format="10">
      <pivotArea type="data" outline="0" fieldPosition="0">
        <references count="2">
          <reference field="4294967294" count="1" selected="0">
            <x v="0"/>
          </reference>
          <reference field="1" count="1" selected="0">
            <x v="8"/>
          </reference>
        </references>
      </pivotArea>
    </chartFormat>
    <chartFormat chart="4" format="11">
      <pivotArea type="data" outline="0" fieldPosition="0">
        <references count="2">
          <reference field="4294967294" count="1" selected="0">
            <x v="0"/>
          </reference>
          <reference field="1" count="1" selected="0">
            <x v="9"/>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 count="1" selected="0">
            <x v="0"/>
          </reference>
        </references>
      </pivotArea>
    </chartFormat>
    <chartFormat chart="5" format="14">
      <pivotArea type="data" outline="0" fieldPosition="0">
        <references count="2">
          <reference field="4294967294" count="1" selected="0">
            <x v="0"/>
          </reference>
          <reference field="1" count="1" selected="0">
            <x v="1"/>
          </reference>
        </references>
      </pivotArea>
    </chartFormat>
    <chartFormat chart="5" format="15">
      <pivotArea type="data" outline="0" fieldPosition="0">
        <references count="2">
          <reference field="4294967294" count="1" selected="0">
            <x v="0"/>
          </reference>
          <reference field="1" count="1" selected="0">
            <x v="2"/>
          </reference>
        </references>
      </pivotArea>
    </chartFormat>
    <chartFormat chart="5" format="16">
      <pivotArea type="data" outline="0" fieldPosition="0">
        <references count="2">
          <reference field="4294967294" count="1" selected="0">
            <x v="0"/>
          </reference>
          <reference field="1" count="1" selected="0">
            <x v="3"/>
          </reference>
        </references>
      </pivotArea>
    </chartFormat>
    <chartFormat chart="5" format="17">
      <pivotArea type="data" outline="0" fieldPosition="0">
        <references count="2">
          <reference field="4294967294" count="1" selected="0">
            <x v="0"/>
          </reference>
          <reference field="1" count="1" selected="0">
            <x v="4"/>
          </reference>
        </references>
      </pivotArea>
    </chartFormat>
    <chartFormat chart="5" format="18">
      <pivotArea type="data" outline="0" fieldPosition="0">
        <references count="2">
          <reference field="4294967294" count="1" selected="0">
            <x v="0"/>
          </reference>
          <reference field="1" count="1" selected="0">
            <x v="5"/>
          </reference>
        </references>
      </pivotArea>
    </chartFormat>
    <chartFormat chart="5" format="19">
      <pivotArea type="data" outline="0" fieldPosition="0">
        <references count="2">
          <reference field="4294967294" count="1" selected="0">
            <x v="0"/>
          </reference>
          <reference field="1" count="1" selected="0">
            <x v="6"/>
          </reference>
        </references>
      </pivotArea>
    </chartFormat>
    <chartFormat chart="5" format="20">
      <pivotArea type="data" outline="0" fieldPosition="0">
        <references count="2">
          <reference field="4294967294" count="1" selected="0">
            <x v="0"/>
          </reference>
          <reference field="1" count="1" selected="0">
            <x v="7"/>
          </reference>
        </references>
      </pivotArea>
    </chartFormat>
    <chartFormat chart="5" format="21">
      <pivotArea type="data" outline="0" fieldPosition="0">
        <references count="2">
          <reference field="4294967294" count="1" selected="0">
            <x v="0"/>
          </reference>
          <reference field="1" count="1" selected="0">
            <x v="8"/>
          </reference>
        </references>
      </pivotArea>
    </chartFormat>
    <chartFormat chart="5" format="22">
      <pivotArea type="data" outline="0" fieldPosition="0">
        <references count="2">
          <reference field="4294967294" count="1" selected="0">
            <x v="0"/>
          </reference>
          <reference field="1" count="1" selected="0">
            <x v="9"/>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15F9A54-0F66-4513-94CA-ABF6A2365C84}" sourceName="Department">
  <pivotTables>
    <pivotTable tabId="2" name="PivotTable1"/>
    <pivotTable tabId="6" name="PivotTable5"/>
    <pivotTable tabId="3" name="PivotTable2"/>
    <pivotTable tabId="4" name="PivotTable3"/>
  </pivotTables>
  <data>
    <tabular pivotCacheId="1351358231">
      <items count="10">
        <i x="2" s="1"/>
        <i x="6" s="1"/>
        <i x="1" s="1"/>
        <i x="0" s="1"/>
        <i x="5" s="1"/>
        <i x="7" s="1"/>
        <i x="8" s="1"/>
        <i x="9"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quisitionStatus" xr10:uid="{7B8AFF92-F52F-449F-8A73-49D1DC8E6B83}" sourceName="RequisitionStatus">
  <pivotTables>
    <pivotTable tabId="3" name="PivotTable2"/>
    <pivotTable tabId="2" name="PivotTable1"/>
    <pivotTable tabId="6" name="PivotTable5"/>
    <pivotTable tabId="4" name="PivotTable3"/>
  </pivotTables>
  <data>
    <tabular pivotCacheId="135135823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Channel" xr10:uid="{61595A46-5FED-4C7E-A69B-048FB9BC8D2D}" sourceName="SourceChannel">
  <pivotTables>
    <pivotTable tabId="4" name="PivotTable3"/>
    <pivotTable tabId="2" name="PivotTable1"/>
    <pivotTable tabId="6" name="PivotTable5"/>
    <pivotTable tabId="3" name="PivotTable2"/>
  </pivotTables>
  <data>
    <tabular pivotCacheId="1351358231">
      <items count="5">
        <i x="2" s="1"/>
        <i x="3" s="1"/>
        <i x="0" s="1"/>
        <i x="4"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cruitingCostUSD" xr10:uid="{1940B195-4904-4379-BC55-1672A529886F}" sourceName="RecruitingCostUSD">
  <pivotTables>
    <pivotTable tabId="6" name="PivotTable5"/>
    <pivotTable tabId="2" name="PivotTable1"/>
    <pivotTable tabId="3" name="PivotTable2"/>
    <pivotTable tabId="4" name="PivotTable3"/>
  </pivotTables>
  <data>
    <tabular pivotCacheId="1351358231">
      <items count="157">
        <i x="105" s="1"/>
        <i x="136" s="1"/>
        <i x="3" s="1"/>
        <i x="110" s="1"/>
        <i x="20" s="1"/>
        <i x="23" s="1"/>
        <i x="58" s="1"/>
        <i x="132" s="1"/>
        <i x="85" s="1"/>
        <i x="43" s="1"/>
        <i x="75" s="1"/>
        <i x="50" s="1"/>
        <i x="137" s="1"/>
        <i x="55" s="1"/>
        <i x="94" s="1"/>
        <i x="145" s="1"/>
        <i x="78" s="1"/>
        <i x="88" s="1"/>
        <i x="89" s="1"/>
        <i x="114" s="1"/>
        <i x="24" s="1"/>
        <i x="62" s="1"/>
        <i x="90" s="1"/>
        <i x="147" s="1"/>
        <i x="5" s="1"/>
        <i x="146" s="1"/>
        <i x="128" s="1"/>
        <i x="138" s="1"/>
        <i x="7" s="1"/>
        <i x="36" s="1"/>
        <i x="81" s="1"/>
        <i x="153" s="1"/>
        <i x="117" s="1"/>
        <i x="121" s="1"/>
        <i x="124" s="1"/>
        <i x="93" s="1"/>
        <i x="70" s="1"/>
        <i x="101" s="1"/>
        <i x="44" s="1"/>
        <i x="133" s="1"/>
        <i x="31" s="1"/>
        <i x="34" s="1"/>
        <i x="51" s="1"/>
        <i x="122" s="1"/>
        <i x="14" s="1"/>
        <i x="76" s="1"/>
        <i x="155" s="1"/>
        <i x="79" s="1"/>
        <i x="129" s="1"/>
        <i x="65" s="1"/>
        <i x="13" s="1"/>
        <i x="30" s="1"/>
        <i x="42" s="1"/>
        <i x="26" s="1"/>
        <i x="111" s="1"/>
        <i x="148" s="1"/>
        <i x="144" s="1"/>
        <i x="95" s="1"/>
        <i x="57" s="1"/>
        <i x="4" s="1"/>
        <i x="9" s="1"/>
        <i x="120" s="1"/>
        <i x="54" s="1"/>
        <i x="127" s="1"/>
        <i x="71" s="1"/>
        <i x="46" s="1"/>
        <i x="80" s="1"/>
        <i x="56" s="1"/>
        <i x="12" s="1"/>
        <i x="96" s="1"/>
        <i x="91" s="1"/>
        <i x="154" s="1"/>
        <i x="0" s="1"/>
        <i x="40" s="1"/>
        <i x="11" s="1"/>
        <i x="32" s="1"/>
        <i x="97" s="1"/>
        <i x="130" s="1"/>
        <i x="1" s="1"/>
        <i x="19" s="1"/>
        <i x="125" s="1"/>
        <i x="66" s="1"/>
        <i x="64" s="1"/>
        <i x="151" s="1"/>
        <i x="107" s="1"/>
        <i x="17" s="1"/>
        <i x="123" s="1"/>
        <i x="74" s="1"/>
        <i x="141" s="1"/>
        <i x="45" s="1"/>
        <i x="152" s="1"/>
        <i x="8" s="1"/>
        <i x="142" s="1"/>
        <i x="21" s="1"/>
        <i x="84" s="1"/>
        <i x="113" s="1"/>
        <i x="16" s="1"/>
        <i x="27" s="1"/>
        <i x="41" s="1"/>
        <i x="150" s="1"/>
        <i x="92" s="1"/>
        <i x="25" s="1"/>
        <i x="100" s="1"/>
        <i x="135" s="1"/>
        <i x="126" s="1"/>
        <i x="86" s="1"/>
        <i x="59" s="1"/>
        <i x="119" s="1"/>
        <i x="73" s="1"/>
        <i x="15" s="1"/>
        <i x="69" s="1"/>
        <i x="109" s="1"/>
        <i x="143" s="1"/>
        <i x="108" s="1"/>
        <i x="149" s="1"/>
        <i x="18" s="1"/>
        <i x="72" s="1"/>
        <i x="60" s="1"/>
        <i x="63" s="1"/>
        <i x="39" s="1"/>
        <i x="134" s="1"/>
        <i x="140" s="1"/>
        <i x="131" s="1"/>
        <i x="118" s="1"/>
        <i x="77" s="1"/>
        <i x="103" s="1"/>
        <i x="47" s="1"/>
        <i x="10" s="1"/>
        <i x="53" s="1"/>
        <i x="49" s="1"/>
        <i x="139" s="1"/>
        <i x="52" s="1"/>
        <i x="104" s="1"/>
        <i x="106" s="1"/>
        <i x="33" s="1"/>
        <i x="156" s="1"/>
        <i x="22" s="1"/>
        <i x="83" s="1"/>
        <i x="37" s="1"/>
        <i x="38" s="1"/>
        <i x="98" s="1"/>
        <i x="35" s="1"/>
        <i x="68" s="1"/>
        <i x="115" s="1"/>
        <i x="28" s="1"/>
        <i x="48" s="1"/>
        <i x="87" s="1"/>
        <i x="116" s="1"/>
        <i x="99" s="1"/>
        <i x="6" s="1"/>
        <i x="2" s="1"/>
        <i x="112" s="1"/>
        <i x="67" s="1"/>
        <i x="82" s="1"/>
        <i x="61" s="1"/>
        <i x="29" s="1"/>
        <i x="10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FC5F473-CD93-4233-83F7-2827A8218EC8}" cache="Slicer_Department" caption="Departm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quisitionStatus" xr10:uid="{DC99C148-4EB0-4D4E-B9FE-8A306DBE1D6A}" cache="Slicer_RequisitionStatus" caption="RequisitionStatus"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ourceChannel" xr10:uid="{6388FCD8-F29A-4493-976D-A7E3CFEF0EA4}" cache="Slicer_SourceChannel" caption="SourceChannel"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cruitingCostUSD" xr10:uid="{9D7C9920-CAB9-4756-A2CC-61ED3773D0D8}" cache="Slicer_RecruitingCostUSD" caption="RecruitingCostUSD"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21EE9732-B8B2-44B5-A660-F2850D866E4A}" cache="Slicer_Department" caption="Department" rowHeight="241300"/>
  <slicer name="RequisitionStatus 1" xr10:uid="{5186844C-86E4-4F70-AE24-0DBF8B0235D1}" cache="Slicer_RequisitionStatus" caption="RequisitionStatus" rowHeight="241300"/>
  <slicer name="SourceChannel 1" xr10:uid="{99CB7D7C-2B6C-4DE4-BA34-FB7050B4B429}" cache="Slicer_SourceChannel" caption="SourceChannel" rowHeight="241300"/>
  <slicer name="RecruitingCostUSD 1" xr10:uid="{A647D6F3-5240-480A-BE3B-95C4A407E50F}" cache="Slicer_RecruitingCostUSD" caption="RecruitingCostUSD" startItem="2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5D1DE-EE50-4782-BE90-8EA0FDC17C9D}">
  <dimension ref="A3:B14"/>
  <sheetViews>
    <sheetView workbookViewId="0">
      <selection activeCell="A3" sqref="A3"/>
    </sheetView>
  </sheetViews>
  <sheetFormatPr defaultRowHeight="14.5" x14ac:dyDescent="0.35"/>
  <cols>
    <col min="1" max="1" width="16.08984375" bestFit="1" customWidth="1"/>
    <col min="2" max="2" width="19.90625" bestFit="1" customWidth="1"/>
  </cols>
  <sheetData>
    <row r="3" spans="1:2" x14ac:dyDescent="0.35">
      <c r="A3" s="7" t="s">
        <v>283</v>
      </c>
      <c r="B3" t="s">
        <v>285</v>
      </c>
    </row>
    <row r="4" spans="1:2" x14ac:dyDescent="0.35">
      <c r="A4" s="8" t="s">
        <v>27</v>
      </c>
      <c r="B4" s="10">
        <v>16</v>
      </c>
    </row>
    <row r="5" spans="1:2" x14ac:dyDescent="0.35">
      <c r="A5" s="8" t="s">
        <v>52</v>
      </c>
      <c r="B5" s="10">
        <v>18</v>
      </c>
    </row>
    <row r="6" spans="1:2" x14ac:dyDescent="0.35">
      <c r="A6" s="8" t="s">
        <v>23</v>
      </c>
      <c r="B6" s="10">
        <v>10</v>
      </c>
    </row>
    <row r="7" spans="1:2" x14ac:dyDescent="0.35">
      <c r="A7" s="8" t="s">
        <v>17</v>
      </c>
      <c r="B7" s="10">
        <v>16</v>
      </c>
    </row>
    <row r="8" spans="1:2" x14ac:dyDescent="0.35">
      <c r="A8" s="8" t="s">
        <v>48</v>
      </c>
      <c r="B8" s="10">
        <v>15</v>
      </c>
    </row>
    <row r="9" spans="1:2" x14ac:dyDescent="0.35">
      <c r="A9" s="8" t="s">
        <v>58</v>
      </c>
      <c r="B9" s="10">
        <v>12</v>
      </c>
    </row>
    <row r="10" spans="1:2" x14ac:dyDescent="0.35">
      <c r="A10" s="8" t="s">
        <v>65</v>
      </c>
      <c r="B10" s="10">
        <v>18</v>
      </c>
    </row>
    <row r="11" spans="1:2" x14ac:dyDescent="0.35">
      <c r="A11" s="8" t="s">
        <v>82</v>
      </c>
      <c r="B11" s="10">
        <v>18</v>
      </c>
    </row>
    <row r="12" spans="1:2" x14ac:dyDescent="0.35">
      <c r="A12" s="8" t="s">
        <v>33</v>
      </c>
      <c r="B12" s="10">
        <v>20</v>
      </c>
    </row>
    <row r="13" spans="1:2" x14ac:dyDescent="0.35">
      <c r="A13" s="8" t="s">
        <v>42</v>
      </c>
      <c r="B13" s="10">
        <v>17</v>
      </c>
    </row>
    <row r="14" spans="1:2" x14ac:dyDescent="0.35">
      <c r="A14" s="8" t="s">
        <v>284</v>
      </c>
      <c r="B14" s="10">
        <v>160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8F4FC-EA34-4D00-8842-48E341FB7A60}">
  <dimension ref="A3:B7"/>
  <sheetViews>
    <sheetView workbookViewId="0">
      <selection activeCell="A3" sqref="A3"/>
    </sheetView>
  </sheetViews>
  <sheetFormatPr defaultRowHeight="14.5" x14ac:dyDescent="0.35"/>
  <cols>
    <col min="1" max="1" width="12.36328125" bestFit="1" customWidth="1"/>
    <col min="2" max="2" width="19.90625" bestFit="1" customWidth="1"/>
  </cols>
  <sheetData>
    <row r="3" spans="1:2" x14ac:dyDescent="0.35">
      <c r="A3" s="7" t="s">
        <v>283</v>
      </c>
      <c r="B3" t="s">
        <v>285</v>
      </c>
    </row>
    <row r="4" spans="1:2" x14ac:dyDescent="0.35">
      <c r="A4" s="8" t="s">
        <v>124</v>
      </c>
      <c r="B4" s="10">
        <v>5</v>
      </c>
    </row>
    <row r="5" spans="1:2" x14ac:dyDescent="0.35">
      <c r="A5" s="8" t="s">
        <v>19</v>
      </c>
      <c r="B5" s="10">
        <v>104</v>
      </c>
    </row>
    <row r="6" spans="1:2" x14ac:dyDescent="0.35">
      <c r="A6" s="8" t="s">
        <v>29</v>
      </c>
      <c r="B6" s="10">
        <v>51</v>
      </c>
    </row>
    <row r="7" spans="1:2" x14ac:dyDescent="0.35">
      <c r="A7" s="8" t="s">
        <v>284</v>
      </c>
      <c r="B7" s="10">
        <v>160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69C18-CF4A-4B3E-A967-89CA36904FB8}">
  <dimension ref="A3:L10"/>
  <sheetViews>
    <sheetView topLeftCell="A7" workbookViewId="0">
      <selection activeCell="O17" sqref="O17"/>
    </sheetView>
  </sheetViews>
  <sheetFormatPr defaultRowHeight="14.5" x14ac:dyDescent="0.35"/>
  <cols>
    <col min="1" max="1" width="19.90625" bestFit="1" customWidth="1"/>
    <col min="2" max="2" width="16.26953125" bestFit="1" customWidth="1"/>
    <col min="3" max="3" width="10.54296875" bestFit="1" customWidth="1"/>
    <col min="4" max="4" width="7.1796875" bestFit="1" customWidth="1"/>
    <col min="5" max="5" width="15.90625" bestFit="1" customWidth="1"/>
    <col min="6" max="6" width="2.81640625" bestFit="1" customWidth="1"/>
    <col min="7" max="7" width="5" bestFit="1" customWidth="1"/>
    <col min="8" max="8" width="9.453125" bestFit="1" customWidth="1"/>
    <col min="9" max="9" width="10.1796875" bestFit="1" customWidth="1"/>
    <col min="10" max="10" width="7.453125" bestFit="1" customWidth="1"/>
    <col min="11" max="11" width="5" bestFit="1" customWidth="1"/>
    <col min="12" max="12" width="10.7265625" bestFit="1" customWidth="1"/>
  </cols>
  <sheetData>
    <row r="3" spans="1:12" x14ac:dyDescent="0.35">
      <c r="A3" s="7" t="s">
        <v>285</v>
      </c>
      <c r="B3" s="7" t="s">
        <v>286</v>
      </c>
    </row>
    <row r="4" spans="1:12" x14ac:dyDescent="0.35">
      <c r="A4" s="7" t="s">
        <v>283</v>
      </c>
      <c r="B4" t="s">
        <v>27</v>
      </c>
      <c r="C4" t="s">
        <v>52</v>
      </c>
      <c r="D4" t="s">
        <v>23</v>
      </c>
      <c r="E4" t="s">
        <v>17</v>
      </c>
      <c r="F4" t="s">
        <v>48</v>
      </c>
      <c r="G4" t="s">
        <v>58</v>
      </c>
      <c r="H4" t="s">
        <v>65</v>
      </c>
      <c r="I4" t="s">
        <v>82</v>
      </c>
      <c r="J4" t="s">
        <v>33</v>
      </c>
      <c r="K4" t="s">
        <v>42</v>
      </c>
      <c r="L4" t="s">
        <v>284</v>
      </c>
    </row>
    <row r="5" spans="1:12" x14ac:dyDescent="0.35">
      <c r="A5" s="8" t="s">
        <v>35</v>
      </c>
      <c r="B5" s="10">
        <v>3</v>
      </c>
      <c r="C5" s="10">
        <v>2</v>
      </c>
      <c r="D5" s="10">
        <v>2</v>
      </c>
      <c r="E5" s="10"/>
      <c r="F5" s="10">
        <v>2</v>
      </c>
      <c r="G5" s="10">
        <v>3</v>
      </c>
      <c r="H5" s="10">
        <v>3</v>
      </c>
      <c r="I5" s="10">
        <v>4</v>
      </c>
      <c r="J5" s="10">
        <v>5</v>
      </c>
      <c r="K5" s="10">
        <v>5</v>
      </c>
      <c r="L5" s="10">
        <v>29</v>
      </c>
    </row>
    <row r="6" spans="1:12" x14ac:dyDescent="0.35">
      <c r="A6" s="8" t="s">
        <v>39</v>
      </c>
      <c r="B6" s="10">
        <v>7</v>
      </c>
      <c r="C6" s="10">
        <v>3</v>
      </c>
      <c r="D6" s="10">
        <v>2</v>
      </c>
      <c r="E6" s="10">
        <v>7</v>
      </c>
      <c r="F6" s="10">
        <v>2</v>
      </c>
      <c r="G6" s="10">
        <v>2</v>
      </c>
      <c r="H6" s="10">
        <v>1</v>
      </c>
      <c r="I6" s="10">
        <v>3</v>
      </c>
      <c r="J6" s="10">
        <v>4</v>
      </c>
      <c r="K6" s="10">
        <v>2</v>
      </c>
      <c r="L6" s="10">
        <v>33</v>
      </c>
    </row>
    <row r="7" spans="1:12" x14ac:dyDescent="0.35">
      <c r="A7" s="8" t="s">
        <v>20</v>
      </c>
      <c r="B7" s="10">
        <v>1</v>
      </c>
      <c r="C7" s="10">
        <v>6</v>
      </c>
      <c r="D7" s="10">
        <v>3</v>
      </c>
      <c r="E7" s="10">
        <v>6</v>
      </c>
      <c r="F7" s="10">
        <v>4</v>
      </c>
      <c r="G7" s="10">
        <v>1</v>
      </c>
      <c r="H7" s="10">
        <v>3</v>
      </c>
      <c r="I7" s="10">
        <v>2</v>
      </c>
      <c r="J7" s="10">
        <v>6</v>
      </c>
      <c r="K7" s="10">
        <v>3</v>
      </c>
      <c r="L7" s="10">
        <v>35</v>
      </c>
    </row>
    <row r="8" spans="1:12" x14ac:dyDescent="0.35">
      <c r="A8" s="8" t="s">
        <v>75</v>
      </c>
      <c r="B8" s="10">
        <v>2</v>
      </c>
      <c r="C8" s="10"/>
      <c r="D8" s="10">
        <v>2</v>
      </c>
      <c r="E8" s="10">
        <v>2</v>
      </c>
      <c r="F8" s="10">
        <v>3</v>
      </c>
      <c r="G8" s="10">
        <v>4</v>
      </c>
      <c r="H8" s="10">
        <v>7</v>
      </c>
      <c r="I8" s="10">
        <v>5</v>
      </c>
      <c r="J8" s="10">
        <v>1</v>
      </c>
      <c r="K8" s="10">
        <v>5</v>
      </c>
      <c r="L8" s="10">
        <v>31</v>
      </c>
    </row>
    <row r="9" spans="1:12" x14ac:dyDescent="0.35">
      <c r="A9" s="8" t="s">
        <v>30</v>
      </c>
      <c r="B9" s="10">
        <v>3</v>
      </c>
      <c r="C9" s="10">
        <v>7</v>
      </c>
      <c r="D9" s="10">
        <v>1</v>
      </c>
      <c r="E9" s="10">
        <v>1</v>
      </c>
      <c r="F9" s="10">
        <v>4</v>
      </c>
      <c r="G9" s="10">
        <v>2</v>
      </c>
      <c r="H9" s="10">
        <v>4</v>
      </c>
      <c r="I9" s="10">
        <v>4</v>
      </c>
      <c r="J9" s="10">
        <v>4</v>
      </c>
      <c r="K9" s="10">
        <v>2</v>
      </c>
      <c r="L9" s="10">
        <v>32</v>
      </c>
    </row>
    <row r="10" spans="1:12" x14ac:dyDescent="0.35">
      <c r="A10" s="8" t="s">
        <v>284</v>
      </c>
      <c r="B10" s="10">
        <v>16</v>
      </c>
      <c r="C10" s="10">
        <v>18</v>
      </c>
      <c r="D10" s="10">
        <v>10</v>
      </c>
      <c r="E10" s="10">
        <v>16</v>
      </c>
      <c r="F10" s="10">
        <v>15</v>
      </c>
      <c r="G10" s="10">
        <v>12</v>
      </c>
      <c r="H10" s="10">
        <v>18</v>
      </c>
      <c r="I10" s="10">
        <v>18</v>
      </c>
      <c r="J10" s="10">
        <v>20</v>
      </c>
      <c r="K10" s="10">
        <v>17</v>
      </c>
      <c r="L10" s="10">
        <v>160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F5B56-0ECF-404B-AE2B-36E2ABD6A748}">
  <dimension ref="A3:B14"/>
  <sheetViews>
    <sheetView workbookViewId="0">
      <selection activeCell="C11" sqref="C11"/>
    </sheetView>
  </sheetViews>
  <sheetFormatPr defaultRowHeight="14.5" x14ac:dyDescent="0.35"/>
  <cols>
    <col min="1" max="1" width="16.08984375" bestFit="1" customWidth="1"/>
    <col min="2" max="2" width="22.90625" bestFit="1" customWidth="1"/>
  </cols>
  <sheetData>
    <row r="3" spans="1:2" x14ac:dyDescent="0.35">
      <c r="A3" s="7" t="s">
        <v>283</v>
      </c>
      <c r="B3" t="s">
        <v>287</v>
      </c>
    </row>
    <row r="4" spans="1:2" x14ac:dyDescent="0.35">
      <c r="A4" s="8" t="s">
        <v>27</v>
      </c>
      <c r="B4" s="9">
        <v>59343</v>
      </c>
    </row>
    <row r="5" spans="1:2" x14ac:dyDescent="0.35">
      <c r="A5" s="8" t="s">
        <v>52</v>
      </c>
      <c r="B5" s="9">
        <v>92951</v>
      </c>
    </row>
    <row r="6" spans="1:2" x14ac:dyDescent="0.35">
      <c r="A6" s="8" t="s">
        <v>23</v>
      </c>
      <c r="B6" s="9">
        <v>31609</v>
      </c>
    </row>
    <row r="7" spans="1:2" x14ac:dyDescent="0.35">
      <c r="A7" s="8" t="s">
        <v>17</v>
      </c>
      <c r="B7" s="9">
        <v>46834</v>
      </c>
    </row>
    <row r="8" spans="1:2" x14ac:dyDescent="0.35">
      <c r="A8" s="8" t="s">
        <v>48</v>
      </c>
      <c r="B8" s="9">
        <v>65729</v>
      </c>
    </row>
    <row r="9" spans="1:2" x14ac:dyDescent="0.35">
      <c r="A9" s="8" t="s">
        <v>58</v>
      </c>
      <c r="B9" s="9">
        <v>44141</v>
      </c>
    </row>
    <row r="10" spans="1:2" x14ac:dyDescent="0.35">
      <c r="A10" s="8" t="s">
        <v>65</v>
      </c>
      <c r="B10" s="9">
        <v>87233</v>
      </c>
    </row>
    <row r="11" spans="1:2" x14ac:dyDescent="0.35">
      <c r="A11" s="8" t="s">
        <v>82</v>
      </c>
      <c r="B11" s="9">
        <v>80808</v>
      </c>
    </row>
    <row r="12" spans="1:2" x14ac:dyDescent="0.35">
      <c r="A12" s="8" t="s">
        <v>33</v>
      </c>
      <c r="B12" s="9">
        <v>71627</v>
      </c>
    </row>
    <row r="13" spans="1:2" x14ac:dyDescent="0.35">
      <c r="A13" s="8" t="s">
        <v>42</v>
      </c>
      <c r="B13" s="9">
        <v>57443</v>
      </c>
    </row>
    <row r="14" spans="1:2" x14ac:dyDescent="0.35">
      <c r="A14" s="8" t="s">
        <v>284</v>
      </c>
      <c r="B14" s="9">
        <v>637718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0BE28-502E-4521-A685-9172458A4276}">
  <dimension ref="A1"/>
  <sheetViews>
    <sheetView tabSelected="1" workbookViewId="0">
      <selection activeCell="W5" sqref="W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396C5-C1D4-4823-BB2B-746D40D460EA}">
  <dimension ref="A1:P161"/>
  <sheetViews>
    <sheetView workbookViewId="0">
      <selection activeCell="A2" sqref="A1:P161"/>
    </sheetView>
  </sheetViews>
  <sheetFormatPr defaultRowHeight="14.5" x14ac:dyDescent="0.35"/>
  <cols>
    <col min="1" max="1" width="12.1796875" bestFit="1" customWidth="1"/>
    <col min="2" max="2" width="15.453125" bestFit="1" customWidth="1"/>
    <col min="3" max="3" width="19" bestFit="1" customWidth="1"/>
    <col min="4" max="4" width="11.453125" bestFit="1" customWidth="1"/>
    <col min="5" max="5" width="10.08984375" bestFit="1" customWidth="1"/>
    <col min="6" max="6" width="16.08984375" bestFit="1" customWidth="1"/>
    <col min="7" max="7" width="15.81640625" bestFit="1" customWidth="1"/>
    <col min="8" max="8" width="13.81640625" bestFit="1" customWidth="1"/>
    <col min="9" max="9" width="14.6328125" bestFit="1" customWidth="1"/>
    <col min="10" max="10" width="14.90625" bestFit="1" customWidth="1"/>
    <col min="11" max="11" width="18.36328125" bestFit="1" customWidth="1"/>
    <col min="12" max="12" width="17.54296875" bestFit="1" customWidth="1"/>
    <col min="13" max="13" width="13.453125" bestFit="1" customWidth="1"/>
    <col min="14" max="14" width="24.26953125" bestFit="1" customWidth="1"/>
    <col min="15" max="15" width="14.08984375" bestFit="1" customWidth="1"/>
    <col min="16" max="16" width="11.1796875" bestFit="1"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row>
    <row r="2" spans="1:16" x14ac:dyDescent="0.35">
      <c r="A2" s="3" t="s">
        <v>16</v>
      </c>
      <c r="B2" s="3" t="s">
        <v>17</v>
      </c>
      <c r="C2" s="3" t="s">
        <v>18</v>
      </c>
      <c r="D2" s="4">
        <v>46178</v>
      </c>
      <c r="E2" s="4">
        <v>46211</v>
      </c>
      <c r="F2" s="3" t="s">
        <v>19</v>
      </c>
      <c r="G2" s="3" t="s">
        <v>20</v>
      </c>
      <c r="H2" s="3">
        <v>82</v>
      </c>
      <c r="I2" s="3">
        <v>18</v>
      </c>
      <c r="J2" s="3">
        <v>1</v>
      </c>
      <c r="K2" s="3">
        <v>1</v>
      </c>
      <c r="L2" s="5">
        <v>2364</v>
      </c>
      <c r="M2" s="3" t="s">
        <v>21</v>
      </c>
      <c r="N2" s="3">
        <v>2.6</v>
      </c>
      <c r="O2" s="6">
        <f t="shared" ref="O2:O65" si="0">IF(F2="Filled",E2-D2,"")</f>
        <v>33</v>
      </c>
      <c r="P2" s="5">
        <f t="shared" ref="P2:P65" si="1">IF(K2&gt;0,L2/K2,"")</f>
        <v>2364</v>
      </c>
    </row>
    <row r="3" spans="1:16" x14ac:dyDescent="0.35">
      <c r="A3" s="3" t="s">
        <v>22</v>
      </c>
      <c r="B3" s="3" t="s">
        <v>23</v>
      </c>
      <c r="C3" s="3" t="s">
        <v>24</v>
      </c>
      <c r="D3" s="4">
        <v>45116</v>
      </c>
      <c r="E3" s="4">
        <v>45139</v>
      </c>
      <c r="F3" s="3" t="s">
        <v>19</v>
      </c>
      <c r="G3" s="3" t="s">
        <v>20</v>
      </c>
      <c r="H3" s="3">
        <v>92</v>
      </c>
      <c r="I3" s="3">
        <v>3</v>
      </c>
      <c r="J3" s="3">
        <v>2</v>
      </c>
      <c r="K3" s="3">
        <v>1</v>
      </c>
      <c r="L3" s="5">
        <v>2496</v>
      </c>
      <c r="M3" s="3" t="s">
        <v>25</v>
      </c>
      <c r="N3" s="3">
        <v>3.4</v>
      </c>
      <c r="O3" s="6">
        <f t="shared" si="0"/>
        <v>23</v>
      </c>
      <c r="P3" s="5">
        <f t="shared" si="1"/>
        <v>2496</v>
      </c>
    </row>
    <row r="4" spans="1:16" x14ac:dyDescent="0.35">
      <c r="A4" s="3" t="s">
        <v>26</v>
      </c>
      <c r="B4" s="3" t="s">
        <v>27</v>
      </c>
      <c r="C4" s="3" t="s">
        <v>28</v>
      </c>
      <c r="D4" s="4">
        <v>44469</v>
      </c>
      <c r="E4" s="3"/>
      <c r="F4" s="3" t="s">
        <v>29</v>
      </c>
      <c r="G4" s="3" t="s">
        <v>30</v>
      </c>
      <c r="H4" s="3">
        <v>115</v>
      </c>
      <c r="I4" s="3">
        <v>8</v>
      </c>
      <c r="J4" s="3">
        <v>2</v>
      </c>
      <c r="K4" s="3">
        <v>0</v>
      </c>
      <c r="L4" s="5">
        <v>11965</v>
      </c>
      <c r="M4" s="3" t="s">
        <v>31</v>
      </c>
      <c r="N4" s="3">
        <v>2.9</v>
      </c>
      <c r="O4" s="6" t="str">
        <f t="shared" si="0"/>
        <v/>
      </c>
      <c r="P4" s="5" t="str">
        <f t="shared" si="1"/>
        <v/>
      </c>
    </row>
    <row r="5" spans="1:16" x14ac:dyDescent="0.35">
      <c r="A5" s="3" t="s">
        <v>32</v>
      </c>
      <c r="B5" s="3" t="s">
        <v>33</v>
      </c>
      <c r="C5" s="3" t="s">
        <v>34</v>
      </c>
      <c r="D5" s="4">
        <v>46228</v>
      </c>
      <c r="E5" s="4">
        <v>46253</v>
      </c>
      <c r="F5" s="3" t="s">
        <v>19</v>
      </c>
      <c r="G5" s="3" t="s">
        <v>35</v>
      </c>
      <c r="H5" s="3">
        <v>66</v>
      </c>
      <c r="I5" s="3">
        <v>10</v>
      </c>
      <c r="J5" s="3">
        <v>2</v>
      </c>
      <c r="K5" s="3">
        <v>1</v>
      </c>
      <c r="L5" s="5">
        <v>710</v>
      </c>
      <c r="M5" s="3" t="s">
        <v>36</v>
      </c>
      <c r="N5" s="3">
        <v>4.5</v>
      </c>
      <c r="O5" s="6">
        <f t="shared" si="0"/>
        <v>25</v>
      </c>
      <c r="P5" s="5">
        <f t="shared" si="1"/>
        <v>710</v>
      </c>
    </row>
    <row r="6" spans="1:16" x14ac:dyDescent="0.35">
      <c r="A6" s="3" t="s">
        <v>37</v>
      </c>
      <c r="B6" s="3" t="s">
        <v>27</v>
      </c>
      <c r="C6" s="3" t="s">
        <v>38</v>
      </c>
      <c r="D6" s="4">
        <v>45381</v>
      </c>
      <c r="E6" s="3"/>
      <c r="F6" s="3" t="s">
        <v>29</v>
      </c>
      <c r="G6" s="3" t="s">
        <v>39</v>
      </c>
      <c r="H6" s="3">
        <v>70</v>
      </c>
      <c r="I6" s="3">
        <v>12</v>
      </c>
      <c r="J6" s="3">
        <v>2</v>
      </c>
      <c r="K6" s="3">
        <v>0</v>
      </c>
      <c r="L6" s="5">
        <v>1910</v>
      </c>
      <c r="M6" s="3" t="s">
        <v>40</v>
      </c>
      <c r="N6" s="3">
        <v>3.1</v>
      </c>
      <c r="O6" s="6" t="str">
        <f t="shared" si="0"/>
        <v/>
      </c>
      <c r="P6" s="5" t="str">
        <f t="shared" si="1"/>
        <v/>
      </c>
    </row>
    <row r="7" spans="1:16" x14ac:dyDescent="0.35">
      <c r="A7" s="3" t="s">
        <v>41</v>
      </c>
      <c r="B7" s="3" t="s">
        <v>42</v>
      </c>
      <c r="C7" s="3" t="s">
        <v>43</v>
      </c>
      <c r="D7" s="4">
        <v>44958</v>
      </c>
      <c r="E7" s="4">
        <v>44996</v>
      </c>
      <c r="F7" s="3" t="s">
        <v>19</v>
      </c>
      <c r="G7" s="3" t="s">
        <v>35</v>
      </c>
      <c r="H7" s="3">
        <v>100</v>
      </c>
      <c r="I7" s="3">
        <v>9</v>
      </c>
      <c r="J7" s="3">
        <v>1</v>
      </c>
      <c r="K7" s="3">
        <v>1</v>
      </c>
      <c r="L7" s="5">
        <v>1010</v>
      </c>
      <c r="M7" s="3" t="s">
        <v>44</v>
      </c>
      <c r="N7" s="3">
        <v>3.9</v>
      </c>
      <c r="O7" s="6">
        <f t="shared" si="0"/>
        <v>38</v>
      </c>
      <c r="P7" s="5">
        <f t="shared" si="1"/>
        <v>1010</v>
      </c>
    </row>
    <row r="8" spans="1:16" x14ac:dyDescent="0.35">
      <c r="A8" s="3" t="s">
        <v>45</v>
      </c>
      <c r="B8" s="3" t="s">
        <v>33</v>
      </c>
      <c r="C8" s="3" t="s">
        <v>46</v>
      </c>
      <c r="D8" s="4">
        <v>46009</v>
      </c>
      <c r="E8" s="4">
        <v>46068</v>
      </c>
      <c r="F8" s="3" t="s">
        <v>19</v>
      </c>
      <c r="G8" s="3" t="s">
        <v>30</v>
      </c>
      <c r="H8" s="3">
        <v>54</v>
      </c>
      <c r="I8" s="3">
        <v>15</v>
      </c>
      <c r="J8" s="3">
        <v>1</v>
      </c>
      <c r="K8" s="3">
        <v>1</v>
      </c>
      <c r="L8" s="5">
        <v>11028</v>
      </c>
      <c r="M8" s="3" t="s">
        <v>36</v>
      </c>
      <c r="N8" s="3">
        <v>2.5</v>
      </c>
      <c r="O8" s="6">
        <f t="shared" si="0"/>
        <v>59</v>
      </c>
      <c r="P8" s="5">
        <f t="shared" si="1"/>
        <v>11028</v>
      </c>
    </row>
    <row r="9" spans="1:16" x14ac:dyDescent="0.35">
      <c r="A9" s="3" t="s">
        <v>47</v>
      </c>
      <c r="B9" s="3" t="s">
        <v>48</v>
      </c>
      <c r="C9" s="3" t="s">
        <v>49</v>
      </c>
      <c r="D9" s="4">
        <v>43990</v>
      </c>
      <c r="E9" s="3"/>
      <c r="F9" s="3" t="s">
        <v>29</v>
      </c>
      <c r="G9" s="3" t="s">
        <v>39</v>
      </c>
      <c r="H9" s="3">
        <v>71</v>
      </c>
      <c r="I9" s="3">
        <v>9</v>
      </c>
      <c r="J9" s="3">
        <v>1</v>
      </c>
      <c r="K9" s="3">
        <v>0</v>
      </c>
      <c r="L9" s="5">
        <v>1226</v>
      </c>
      <c r="M9" s="3" t="s">
        <v>50</v>
      </c>
      <c r="N9" s="3">
        <v>3.1</v>
      </c>
      <c r="O9" s="6" t="str">
        <f t="shared" si="0"/>
        <v/>
      </c>
      <c r="P9" s="5" t="str">
        <f t="shared" si="1"/>
        <v/>
      </c>
    </row>
    <row r="10" spans="1:16" x14ac:dyDescent="0.35">
      <c r="A10" s="3" t="s">
        <v>51</v>
      </c>
      <c r="B10" s="3" t="s">
        <v>52</v>
      </c>
      <c r="C10" s="3" t="s">
        <v>53</v>
      </c>
      <c r="D10" s="4">
        <v>44481</v>
      </c>
      <c r="E10" s="4">
        <v>44544</v>
      </c>
      <c r="F10" s="3" t="s">
        <v>19</v>
      </c>
      <c r="G10" s="3" t="s">
        <v>20</v>
      </c>
      <c r="H10" s="3">
        <v>75</v>
      </c>
      <c r="I10" s="3">
        <v>10</v>
      </c>
      <c r="J10" s="3">
        <v>1</v>
      </c>
      <c r="K10" s="3">
        <v>1</v>
      </c>
      <c r="L10" s="5">
        <v>2793</v>
      </c>
      <c r="M10" s="3" t="s">
        <v>54</v>
      </c>
      <c r="N10" s="3">
        <v>4.5</v>
      </c>
      <c r="O10" s="6">
        <f t="shared" si="0"/>
        <v>63</v>
      </c>
      <c r="P10" s="5">
        <f t="shared" si="1"/>
        <v>2793</v>
      </c>
    </row>
    <row r="11" spans="1:16" x14ac:dyDescent="0.35">
      <c r="A11" s="3" t="s">
        <v>55</v>
      </c>
      <c r="B11" s="3" t="s">
        <v>48</v>
      </c>
      <c r="C11" s="3" t="s">
        <v>49</v>
      </c>
      <c r="D11" s="4">
        <v>44131</v>
      </c>
      <c r="E11" s="4">
        <v>44176</v>
      </c>
      <c r="F11" s="3" t="s">
        <v>19</v>
      </c>
      <c r="G11" s="3" t="s">
        <v>20</v>
      </c>
      <c r="H11" s="3">
        <v>83</v>
      </c>
      <c r="I11" s="3">
        <v>11</v>
      </c>
      <c r="J11" s="3">
        <v>1</v>
      </c>
      <c r="K11" s="3">
        <v>1</v>
      </c>
      <c r="L11" s="5">
        <v>1921</v>
      </c>
      <c r="M11" s="3" t="s">
        <v>56</v>
      </c>
      <c r="N11" s="3">
        <v>5</v>
      </c>
      <c r="O11" s="6">
        <f t="shared" si="0"/>
        <v>45</v>
      </c>
      <c r="P11" s="5">
        <f t="shared" si="1"/>
        <v>1921</v>
      </c>
    </row>
    <row r="12" spans="1:16" x14ac:dyDescent="0.35">
      <c r="A12" s="3" t="s">
        <v>57</v>
      </c>
      <c r="B12" s="3" t="s">
        <v>58</v>
      </c>
      <c r="C12" s="3" t="s">
        <v>59</v>
      </c>
      <c r="D12" s="4">
        <v>45991</v>
      </c>
      <c r="E12" s="4">
        <v>46018</v>
      </c>
      <c r="F12" s="3" t="s">
        <v>19</v>
      </c>
      <c r="G12" s="3" t="s">
        <v>30</v>
      </c>
      <c r="H12" s="3">
        <v>74</v>
      </c>
      <c r="I12" s="3">
        <v>3</v>
      </c>
      <c r="J12" s="3">
        <v>2</v>
      </c>
      <c r="K12" s="3">
        <v>1</v>
      </c>
      <c r="L12" s="5">
        <v>8489</v>
      </c>
      <c r="M12" s="3" t="s">
        <v>60</v>
      </c>
      <c r="N12" s="3">
        <v>2.7</v>
      </c>
      <c r="O12" s="6">
        <f t="shared" si="0"/>
        <v>27</v>
      </c>
      <c r="P12" s="5">
        <f t="shared" si="1"/>
        <v>8489</v>
      </c>
    </row>
    <row r="13" spans="1:16" x14ac:dyDescent="0.35">
      <c r="A13" s="3" t="s">
        <v>61</v>
      </c>
      <c r="B13" s="3" t="s">
        <v>33</v>
      </c>
      <c r="C13" s="3" t="s">
        <v>62</v>
      </c>
      <c r="D13" s="4">
        <v>44986</v>
      </c>
      <c r="E13" s="4">
        <v>45051</v>
      </c>
      <c r="F13" s="3" t="s">
        <v>19</v>
      </c>
      <c r="G13" s="3" t="s">
        <v>20</v>
      </c>
      <c r="H13" s="3">
        <v>54</v>
      </c>
      <c r="I13" s="3">
        <v>18</v>
      </c>
      <c r="J13" s="3">
        <v>1</v>
      </c>
      <c r="K13" s="3">
        <v>1</v>
      </c>
      <c r="L13" s="5">
        <v>2402</v>
      </c>
      <c r="M13" s="3" t="s">
        <v>63</v>
      </c>
      <c r="N13" s="3">
        <v>3.9</v>
      </c>
      <c r="O13" s="6">
        <f t="shared" si="0"/>
        <v>65</v>
      </c>
      <c r="P13" s="5">
        <f t="shared" si="1"/>
        <v>2402</v>
      </c>
    </row>
    <row r="14" spans="1:16" x14ac:dyDescent="0.35">
      <c r="A14" s="3" t="s">
        <v>64</v>
      </c>
      <c r="B14" s="3" t="s">
        <v>65</v>
      </c>
      <c r="C14" s="3" t="s">
        <v>66</v>
      </c>
      <c r="D14" s="4">
        <v>44697</v>
      </c>
      <c r="E14" s="4">
        <v>44727</v>
      </c>
      <c r="F14" s="3" t="s">
        <v>19</v>
      </c>
      <c r="G14" s="3" t="s">
        <v>20</v>
      </c>
      <c r="H14" s="3">
        <v>23</v>
      </c>
      <c r="I14" s="3">
        <v>3</v>
      </c>
      <c r="J14" s="3">
        <v>1</v>
      </c>
      <c r="K14" s="3">
        <v>1</v>
      </c>
      <c r="L14" s="5">
        <v>2325</v>
      </c>
      <c r="M14" s="3" t="s">
        <v>67</v>
      </c>
      <c r="N14" s="3">
        <v>3.2</v>
      </c>
      <c r="O14" s="6">
        <f t="shared" si="0"/>
        <v>30</v>
      </c>
      <c r="P14" s="5">
        <f t="shared" si="1"/>
        <v>2325</v>
      </c>
    </row>
    <row r="15" spans="1:16" x14ac:dyDescent="0.35">
      <c r="A15" s="3" t="s">
        <v>68</v>
      </c>
      <c r="B15" s="3" t="s">
        <v>17</v>
      </c>
      <c r="C15" s="3" t="s">
        <v>69</v>
      </c>
      <c r="D15" s="4">
        <v>44696</v>
      </c>
      <c r="E15" s="3"/>
      <c r="F15" s="3" t="s">
        <v>29</v>
      </c>
      <c r="G15" s="3" t="s">
        <v>39</v>
      </c>
      <c r="H15" s="3">
        <v>8</v>
      </c>
      <c r="I15" s="3">
        <v>8</v>
      </c>
      <c r="J15" s="3">
        <v>1</v>
      </c>
      <c r="K15" s="3">
        <v>0</v>
      </c>
      <c r="L15" s="5">
        <v>1707</v>
      </c>
      <c r="M15" s="3" t="s">
        <v>70</v>
      </c>
      <c r="N15" s="3">
        <v>2.6</v>
      </c>
      <c r="O15" s="6" t="str">
        <f t="shared" si="0"/>
        <v/>
      </c>
      <c r="P15" s="5" t="str">
        <f t="shared" si="1"/>
        <v/>
      </c>
    </row>
    <row r="16" spans="1:16" x14ac:dyDescent="0.35">
      <c r="A16" s="3" t="s">
        <v>71</v>
      </c>
      <c r="B16" s="3" t="s">
        <v>17</v>
      </c>
      <c r="C16" s="3" t="s">
        <v>69</v>
      </c>
      <c r="D16" s="4">
        <v>44954</v>
      </c>
      <c r="E16" s="4">
        <v>45009</v>
      </c>
      <c r="F16" s="3" t="s">
        <v>19</v>
      </c>
      <c r="G16" s="3" t="s">
        <v>39</v>
      </c>
      <c r="H16" s="3">
        <v>87</v>
      </c>
      <c r="I16" s="3">
        <v>19</v>
      </c>
      <c r="J16" s="3">
        <v>1</v>
      </c>
      <c r="K16" s="3">
        <v>1</v>
      </c>
      <c r="L16" s="5">
        <v>1579</v>
      </c>
      <c r="M16" s="3" t="s">
        <v>72</v>
      </c>
      <c r="N16" s="3">
        <v>3.6</v>
      </c>
      <c r="O16" s="6">
        <f t="shared" si="0"/>
        <v>55</v>
      </c>
      <c r="P16" s="5">
        <f t="shared" si="1"/>
        <v>1579</v>
      </c>
    </row>
    <row r="17" spans="1:16" x14ac:dyDescent="0.35">
      <c r="A17" s="3" t="s">
        <v>73</v>
      </c>
      <c r="B17" s="3" t="s">
        <v>58</v>
      </c>
      <c r="C17" s="3" t="s">
        <v>74</v>
      </c>
      <c r="D17" s="4">
        <v>46071</v>
      </c>
      <c r="E17" s="4">
        <v>46143</v>
      </c>
      <c r="F17" s="3" t="s">
        <v>19</v>
      </c>
      <c r="G17" s="3" t="s">
        <v>75</v>
      </c>
      <c r="H17" s="3">
        <v>80</v>
      </c>
      <c r="I17" s="3">
        <v>19</v>
      </c>
      <c r="J17" s="3">
        <v>1</v>
      </c>
      <c r="K17" s="3">
        <v>1</v>
      </c>
      <c r="L17" s="5">
        <v>4766</v>
      </c>
      <c r="M17" s="3" t="s">
        <v>76</v>
      </c>
      <c r="N17" s="3">
        <v>4.5999999999999996</v>
      </c>
      <c r="O17" s="6">
        <f t="shared" si="0"/>
        <v>72</v>
      </c>
      <c r="P17" s="5">
        <f t="shared" si="1"/>
        <v>4766</v>
      </c>
    </row>
    <row r="18" spans="1:16" x14ac:dyDescent="0.35">
      <c r="A18" s="3" t="s">
        <v>77</v>
      </c>
      <c r="B18" s="3" t="s">
        <v>17</v>
      </c>
      <c r="C18" s="3" t="s">
        <v>78</v>
      </c>
      <c r="D18" s="4">
        <v>44846</v>
      </c>
      <c r="E18" s="4">
        <v>44921</v>
      </c>
      <c r="F18" s="3" t="s">
        <v>19</v>
      </c>
      <c r="G18" s="3" t="s">
        <v>75</v>
      </c>
      <c r="H18" s="3">
        <v>56</v>
      </c>
      <c r="I18" s="3">
        <v>9</v>
      </c>
      <c r="J18" s="3">
        <v>1</v>
      </c>
      <c r="K18" s="3">
        <v>1</v>
      </c>
      <c r="L18" s="5">
        <v>3899</v>
      </c>
      <c r="M18" s="3" t="s">
        <v>72</v>
      </c>
      <c r="N18" s="3">
        <v>4.8</v>
      </c>
      <c r="O18" s="6">
        <f t="shared" si="0"/>
        <v>75</v>
      </c>
      <c r="P18" s="5">
        <f t="shared" si="1"/>
        <v>3899</v>
      </c>
    </row>
    <row r="19" spans="1:16" x14ac:dyDescent="0.35">
      <c r="A19" s="3" t="s">
        <v>79</v>
      </c>
      <c r="B19" s="3" t="s">
        <v>52</v>
      </c>
      <c r="C19" s="3" t="s">
        <v>80</v>
      </c>
      <c r="D19" s="4">
        <v>46166</v>
      </c>
      <c r="E19" s="4">
        <v>46233</v>
      </c>
      <c r="F19" s="3" t="s">
        <v>19</v>
      </c>
      <c r="G19" s="3" t="s">
        <v>20</v>
      </c>
      <c r="H19" s="3">
        <v>111</v>
      </c>
      <c r="I19" s="3">
        <v>5</v>
      </c>
      <c r="J19" s="3">
        <v>1</v>
      </c>
      <c r="K19" s="3">
        <v>1</v>
      </c>
      <c r="L19" s="5">
        <v>2681</v>
      </c>
      <c r="M19" s="3" t="s">
        <v>54</v>
      </c>
      <c r="N19" s="3">
        <v>2.7</v>
      </c>
      <c r="O19" s="6">
        <f t="shared" si="0"/>
        <v>67</v>
      </c>
      <c r="P19" s="5">
        <f t="shared" si="1"/>
        <v>2681</v>
      </c>
    </row>
    <row r="20" spans="1:16" x14ac:dyDescent="0.35">
      <c r="A20" s="3" t="s">
        <v>81</v>
      </c>
      <c r="B20" s="3" t="s">
        <v>82</v>
      </c>
      <c r="C20" s="3" t="s">
        <v>83</v>
      </c>
      <c r="D20" s="4">
        <v>45063</v>
      </c>
      <c r="E20" s="4">
        <v>45119</v>
      </c>
      <c r="F20" s="3" t="s">
        <v>19</v>
      </c>
      <c r="G20" s="3" t="s">
        <v>75</v>
      </c>
      <c r="H20" s="3">
        <v>11</v>
      </c>
      <c r="I20" s="3">
        <v>6</v>
      </c>
      <c r="J20" s="3">
        <v>1</v>
      </c>
      <c r="K20" s="3">
        <v>1</v>
      </c>
      <c r="L20" s="5">
        <v>5160</v>
      </c>
      <c r="M20" s="3" t="s">
        <v>84</v>
      </c>
      <c r="N20" s="3">
        <v>4.3</v>
      </c>
      <c r="O20" s="6">
        <f t="shared" si="0"/>
        <v>56</v>
      </c>
      <c r="P20" s="5">
        <f t="shared" si="1"/>
        <v>5160</v>
      </c>
    </row>
    <row r="21" spans="1:16" x14ac:dyDescent="0.35">
      <c r="A21" s="3" t="s">
        <v>85</v>
      </c>
      <c r="B21" s="3" t="s">
        <v>17</v>
      </c>
      <c r="C21" s="3" t="s">
        <v>78</v>
      </c>
      <c r="D21" s="4">
        <v>45578</v>
      </c>
      <c r="E21" s="3"/>
      <c r="F21" s="3" t="s">
        <v>29</v>
      </c>
      <c r="G21" s="3" t="s">
        <v>20</v>
      </c>
      <c r="H21" s="3">
        <v>43</v>
      </c>
      <c r="I21" s="3">
        <v>13</v>
      </c>
      <c r="J21" s="3">
        <v>2</v>
      </c>
      <c r="K21" s="3">
        <v>0</v>
      </c>
      <c r="L21" s="5">
        <v>2504</v>
      </c>
      <c r="M21" s="3" t="s">
        <v>72</v>
      </c>
      <c r="N21" s="3">
        <v>3.4</v>
      </c>
      <c r="O21" s="6" t="str">
        <f t="shared" si="0"/>
        <v/>
      </c>
      <c r="P21" s="5" t="str">
        <f t="shared" si="1"/>
        <v/>
      </c>
    </row>
    <row r="22" spans="1:16" x14ac:dyDescent="0.35">
      <c r="A22" s="3" t="s">
        <v>86</v>
      </c>
      <c r="B22" s="3" t="s">
        <v>42</v>
      </c>
      <c r="C22" s="3" t="s">
        <v>87</v>
      </c>
      <c r="D22" s="4">
        <v>44668</v>
      </c>
      <c r="E22" s="4">
        <v>44741</v>
      </c>
      <c r="F22" s="3" t="s">
        <v>19</v>
      </c>
      <c r="G22" s="3" t="s">
        <v>35</v>
      </c>
      <c r="H22" s="3">
        <v>9</v>
      </c>
      <c r="I22" s="3">
        <v>6</v>
      </c>
      <c r="J22" s="3">
        <v>1</v>
      </c>
      <c r="K22" s="3">
        <v>1</v>
      </c>
      <c r="L22" s="5">
        <v>719</v>
      </c>
      <c r="M22" s="3" t="s">
        <v>88</v>
      </c>
      <c r="N22" s="3">
        <v>3.5</v>
      </c>
      <c r="O22" s="6">
        <f t="shared" si="0"/>
        <v>73</v>
      </c>
      <c r="P22" s="5">
        <f t="shared" si="1"/>
        <v>719</v>
      </c>
    </row>
    <row r="23" spans="1:16" x14ac:dyDescent="0.35">
      <c r="A23" s="3" t="s">
        <v>89</v>
      </c>
      <c r="B23" s="3" t="s">
        <v>17</v>
      </c>
      <c r="C23" s="3" t="s">
        <v>78</v>
      </c>
      <c r="D23" s="4">
        <v>45248</v>
      </c>
      <c r="E23" s="3"/>
      <c r="F23" s="3" t="s">
        <v>29</v>
      </c>
      <c r="G23" s="3" t="s">
        <v>20</v>
      </c>
      <c r="H23" s="3">
        <v>117</v>
      </c>
      <c r="I23" s="3">
        <v>18</v>
      </c>
      <c r="J23" s="3">
        <v>1</v>
      </c>
      <c r="K23" s="3">
        <v>1</v>
      </c>
      <c r="L23" s="5">
        <v>2806</v>
      </c>
      <c r="M23" s="3" t="s">
        <v>90</v>
      </c>
      <c r="N23" s="3">
        <v>3.2</v>
      </c>
      <c r="O23" s="6" t="str">
        <f t="shared" si="0"/>
        <v/>
      </c>
      <c r="P23" s="5">
        <f t="shared" si="1"/>
        <v>2806</v>
      </c>
    </row>
    <row r="24" spans="1:16" x14ac:dyDescent="0.35">
      <c r="A24" s="3" t="s">
        <v>91</v>
      </c>
      <c r="B24" s="3" t="s">
        <v>33</v>
      </c>
      <c r="C24" s="3" t="s">
        <v>62</v>
      </c>
      <c r="D24" s="4">
        <v>44745</v>
      </c>
      <c r="E24" s="4">
        <v>44785</v>
      </c>
      <c r="F24" s="3" t="s">
        <v>19</v>
      </c>
      <c r="G24" s="3" t="s">
        <v>30</v>
      </c>
      <c r="H24" s="3">
        <v>55</v>
      </c>
      <c r="I24" s="3">
        <v>15</v>
      </c>
      <c r="J24" s="3">
        <v>1</v>
      </c>
      <c r="K24" s="3">
        <v>1</v>
      </c>
      <c r="L24" s="5">
        <v>9830</v>
      </c>
      <c r="M24" s="3" t="s">
        <v>63</v>
      </c>
      <c r="N24" s="3">
        <v>4.4000000000000004</v>
      </c>
      <c r="O24" s="6">
        <f t="shared" si="0"/>
        <v>40</v>
      </c>
      <c r="P24" s="5">
        <f t="shared" si="1"/>
        <v>9830</v>
      </c>
    </row>
    <row r="25" spans="1:16" x14ac:dyDescent="0.35">
      <c r="A25" s="3" t="s">
        <v>92</v>
      </c>
      <c r="B25" s="3" t="s">
        <v>33</v>
      </c>
      <c r="C25" s="3" t="s">
        <v>93</v>
      </c>
      <c r="D25" s="4">
        <v>45767</v>
      </c>
      <c r="E25" s="3"/>
      <c r="F25" s="3" t="s">
        <v>29</v>
      </c>
      <c r="G25" s="3" t="s">
        <v>35</v>
      </c>
      <c r="H25" s="3">
        <v>23</v>
      </c>
      <c r="I25" s="3">
        <v>8</v>
      </c>
      <c r="J25" s="3">
        <v>1</v>
      </c>
      <c r="K25" s="3">
        <v>1</v>
      </c>
      <c r="L25" s="5">
        <v>722</v>
      </c>
      <c r="M25" s="3" t="s">
        <v>94</v>
      </c>
      <c r="N25" s="3">
        <v>3.4</v>
      </c>
      <c r="O25" s="6" t="str">
        <f t="shared" si="0"/>
        <v/>
      </c>
      <c r="P25" s="5">
        <f t="shared" si="1"/>
        <v>722</v>
      </c>
    </row>
    <row r="26" spans="1:16" x14ac:dyDescent="0.35">
      <c r="A26" s="3" t="s">
        <v>95</v>
      </c>
      <c r="B26" s="3" t="s">
        <v>33</v>
      </c>
      <c r="C26" s="3" t="s">
        <v>93</v>
      </c>
      <c r="D26" s="4">
        <v>44532</v>
      </c>
      <c r="E26" s="3"/>
      <c r="F26" s="3" t="s">
        <v>29</v>
      </c>
      <c r="G26" s="3" t="s">
        <v>35</v>
      </c>
      <c r="H26" s="3">
        <v>11</v>
      </c>
      <c r="I26" s="3">
        <v>6</v>
      </c>
      <c r="J26" s="3">
        <v>0</v>
      </c>
      <c r="K26" s="3">
        <v>0</v>
      </c>
      <c r="L26" s="5">
        <v>941</v>
      </c>
      <c r="M26" s="3" t="s">
        <v>96</v>
      </c>
      <c r="N26" s="3">
        <v>3.8</v>
      </c>
      <c r="O26" s="6" t="str">
        <f t="shared" si="0"/>
        <v/>
      </c>
      <c r="P26" s="5" t="str">
        <f t="shared" si="1"/>
        <v/>
      </c>
    </row>
    <row r="27" spans="1:16" x14ac:dyDescent="0.35">
      <c r="A27" s="3" t="s">
        <v>97</v>
      </c>
      <c r="B27" s="3" t="s">
        <v>23</v>
      </c>
      <c r="C27" s="3" t="s">
        <v>98</v>
      </c>
      <c r="D27" s="4">
        <v>43974</v>
      </c>
      <c r="E27" s="4">
        <v>44042</v>
      </c>
      <c r="F27" s="3" t="s">
        <v>19</v>
      </c>
      <c r="G27" s="3" t="s">
        <v>75</v>
      </c>
      <c r="H27" s="3">
        <v>93</v>
      </c>
      <c r="I27" s="3">
        <v>14</v>
      </c>
      <c r="J27" s="3">
        <v>2</v>
      </c>
      <c r="K27" s="3">
        <v>1</v>
      </c>
      <c r="L27" s="5">
        <v>4415</v>
      </c>
      <c r="M27" s="3" t="s">
        <v>99</v>
      </c>
      <c r="N27" s="3">
        <v>3.4</v>
      </c>
      <c r="O27" s="6">
        <f t="shared" si="0"/>
        <v>68</v>
      </c>
      <c r="P27" s="5">
        <f t="shared" si="1"/>
        <v>4415</v>
      </c>
    </row>
    <row r="28" spans="1:16" x14ac:dyDescent="0.35">
      <c r="A28" s="3" t="s">
        <v>100</v>
      </c>
      <c r="B28" s="3" t="s">
        <v>17</v>
      </c>
      <c r="C28" s="3" t="s">
        <v>69</v>
      </c>
      <c r="D28" s="4">
        <v>45606</v>
      </c>
      <c r="E28" s="4">
        <v>45645</v>
      </c>
      <c r="F28" s="3" t="s">
        <v>19</v>
      </c>
      <c r="G28" s="3" t="s">
        <v>39</v>
      </c>
      <c r="H28" s="3">
        <v>88</v>
      </c>
      <c r="I28" s="3">
        <v>7</v>
      </c>
      <c r="J28" s="3">
        <v>1</v>
      </c>
      <c r="K28" s="3">
        <v>1</v>
      </c>
      <c r="L28" s="5">
        <v>1797</v>
      </c>
      <c r="M28" s="3" t="s">
        <v>70</v>
      </c>
      <c r="N28" s="3">
        <v>4</v>
      </c>
      <c r="O28" s="6">
        <f t="shared" si="0"/>
        <v>39</v>
      </c>
      <c r="P28" s="5">
        <f t="shared" si="1"/>
        <v>1797</v>
      </c>
    </row>
    <row r="29" spans="1:16" x14ac:dyDescent="0.35">
      <c r="A29" s="3" t="s">
        <v>101</v>
      </c>
      <c r="B29" s="3" t="s">
        <v>23</v>
      </c>
      <c r="C29" s="3" t="s">
        <v>102</v>
      </c>
      <c r="D29" s="4">
        <v>44737</v>
      </c>
      <c r="E29" s="4">
        <v>44783</v>
      </c>
      <c r="F29" s="3" t="s">
        <v>19</v>
      </c>
      <c r="G29" s="3" t="s">
        <v>75</v>
      </c>
      <c r="H29" s="3">
        <v>91</v>
      </c>
      <c r="I29" s="3">
        <v>10</v>
      </c>
      <c r="J29" s="3">
        <v>1</v>
      </c>
      <c r="K29" s="3">
        <v>1</v>
      </c>
      <c r="L29" s="5">
        <v>3951</v>
      </c>
      <c r="M29" s="3" t="s">
        <v>103</v>
      </c>
      <c r="N29" s="3">
        <v>3</v>
      </c>
      <c r="O29" s="6">
        <f t="shared" si="0"/>
        <v>46</v>
      </c>
      <c r="P29" s="5">
        <f t="shared" si="1"/>
        <v>3951</v>
      </c>
    </row>
    <row r="30" spans="1:16" x14ac:dyDescent="0.35">
      <c r="A30" s="3" t="s">
        <v>104</v>
      </c>
      <c r="B30" s="3" t="s">
        <v>48</v>
      </c>
      <c r="C30" s="3" t="s">
        <v>105</v>
      </c>
      <c r="D30" s="4">
        <v>46094</v>
      </c>
      <c r="E30" s="3"/>
      <c r="F30" s="3" t="s">
        <v>29</v>
      </c>
      <c r="G30" s="3" t="s">
        <v>30</v>
      </c>
      <c r="H30" s="3">
        <v>105</v>
      </c>
      <c r="I30" s="3">
        <v>19</v>
      </c>
      <c r="J30" s="3">
        <v>0</v>
      </c>
      <c r="K30" s="3">
        <v>0</v>
      </c>
      <c r="L30" s="5">
        <v>10406</v>
      </c>
      <c r="M30" s="3" t="s">
        <v>106</v>
      </c>
      <c r="N30" s="3">
        <v>4</v>
      </c>
      <c r="O30" s="6" t="str">
        <f t="shared" si="0"/>
        <v/>
      </c>
      <c r="P30" s="5" t="str">
        <f t="shared" si="1"/>
        <v/>
      </c>
    </row>
    <row r="31" spans="1:16" x14ac:dyDescent="0.35">
      <c r="A31" s="3" t="s">
        <v>107</v>
      </c>
      <c r="B31" s="3" t="s">
        <v>65</v>
      </c>
      <c r="C31" s="3" t="s">
        <v>66</v>
      </c>
      <c r="D31" s="4">
        <v>44080</v>
      </c>
      <c r="E31" s="4">
        <v>44130</v>
      </c>
      <c r="F31" s="3" t="s">
        <v>19</v>
      </c>
      <c r="G31" s="3" t="s">
        <v>30</v>
      </c>
      <c r="H31" s="3">
        <v>49</v>
      </c>
      <c r="I31" s="3">
        <v>14</v>
      </c>
      <c r="J31" s="3">
        <v>1</v>
      </c>
      <c r="K31" s="3">
        <v>1</v>
      </c>
      <c r="L31" s="5">
        <v>12319</v>
      </c>
      <c r="M31" s="3" t="s">
        <v>108</v>
      </c>
      <c r="N31" s="3">
        <v>4.5</v>
      </c>
      <c r="O31" s="6">
        <f t="shared" si="0"/>
        <v>50</v>
      </c>
      <c r="P31" s="5">
        <f t="shared" si="1"/>
        <v>12319</v>
      </c>
    </row>
    <row r="32" spans="1:16" x14ac:dyDescent="0.35">
      <c r="A32" s="3" t="s">
        <v>109</v>
      </c>
      <c r="B32" s="3" t="s">
        <v>65</v>
      </c>
      <c r="C32" s="3" t="s">
        <v>110</v>
      </c>
      <c r="D32" s="4">
        <v>44673</v>
      </c>
      <c r="E32" s="4">
        <v>44735</v>
      </c>
      <c r="F32" s="3" t="s">
        <v>19</v>
      </c>
      <c r="G32" s="3" t="s">
        <v>39</v>
      </c>
      <c r="H32" s="3">
        <v>99</v>
      </c>
      <c r="I32" s="3">
        <v>9</v>
      </c>
      <c r="J32" s="3">
        <v>2</v>
      </c>
      <c r="K32" s="3">
        <v>1</v>
      </c>
      <c r="L32" s="5">
        <v>1764</v>
      </c>
      <c r="M32" s="3" t="s">
        <v>111</v>
      </c>
      <c r="N32" s="3">
        <v>4.8</v>
      </c>
      <c r="O32" s="6">
        <f t="shared" si="0"/>
        <v>62</v>
      </c>
      <c r="P32" s="5">
        <f t="shared" si="1"/>
        <v>1764</v>
      </c>
    </row>
    <row r="33" spans="1:16" x14ac:dyDescent="0.35">
      <c r="A33" s="3" t="s">
        <v>112</v>
      </c>
      <c r="B33" s="3" t="s">
        <v>23</v>
      </c>
      <c r="C33" s="3" t="s">
        <v>113</v>
      </c>
      <c r="D33" s="4">
        <v>44740</v>
      </c>
      <c r="E33" s="4">
        <v>44799</v>
      </c>
      <c r="F33" s="3" t="s">
        <v>19</v>
      </c>
      <c r="G33" s="3" t="s">
        <v>39</v>
      </c>
      <c r="H33" s="3">
        <v>81</v>
      </c>
      <c r="I33" s="3">
        <v>10</v>
      </c>
      <c r="J33" s="3">
        <v>2</v>
      </c>
      <c r="K33" s="3">
        <v>1</v>
      </c>
      <c r="L33" s="5">
        <v>1484</v>
      </c>
      <c r="M33" s="3" t="s">
        <v>103</v>
      </c>
      <c r="N33" s="3">
        <v>5</v>
      </c>
      <c r="O33" s="6">
        <f t="shared" si="0"/>
        <v>59</v>
      </c>
      <c r="P33" s="5">
        <f t="shared" si="1"/>
        <v>1484</v>
      </c>
    </row>
    <row r="34" spans="1:16" x14ac:dyDescent="0.35">
      <c r="A34" s="3" t="s">
        <v>114</v>
      </c>
      <c r="B34" s="3" t="s">
        <v>52</v>
      </c>
      <c r="C34" s="3" t="s">
        <v>115</v>
      </c>
      <c r="D34" s="4">
        <v>44882</v>
      </c>
      <c r="E34" s="3"/>
      <c r="F34" s="3" t="s">
        <v>29</v>
      </c>
      <c r="G34" s="3" t="s">
        <v>20</v>
      </c>
      <c r="H34" s="3">
        <v>39</v>
      </c>
      <c r="I34" s="3">
        <v>15</v>
      </c>
      <c r="J34" s="3">
        <v>0</v>
      </c>
      <c r="K34" s="3">
        <v>0</v>
      </c>
      <c r="L34" s="5">
        <v>2430</v>
      </c>
      <c r="M34" s="3" t="s">
        <v>116</v>
      </c>
      <c r="N34" s="3">
        <v>4</v>
      </c>
      <c r="O34" s="6" t="str">
        <f t="shared" si="0"/>
        <v/>
      </c>
      <c r="P34" s="5" t="str">
        <f t="shared" si="1"/>
        <v/>
      </c>
    </row>
    <row r="35" spans="1:16" x14ac:dyDescent="0.35">
      <c r="A35" s="3" t="s">
        <v>117</v>
      </c>
      <c r="B35" s="3" t="s">
        <v>82</v>
      </c>
      <c r="C35" s="3" t="s">
        <v>118</v>
      </c>
      <c r="D35" s="4">
        <v>44818</v>
      </c>
      <c r="E35" s="4">
        <v>44892</v>
      </c>
      <c r="F35" s="3" t="s">
        <v>19</v>
      </c>
      <c r="G35" s="3" t="s">
        <v>30</v>
      </c>
      <c r="H35" s="3">
        <v>101</v>
      </c>
      <c r="I35" s="3">
        <v>9</v>
      </c>
      <c r="J35" s="3">
        <v>1</v>
      </c>
      <c r="K35" s="3">
        <v>1</v>
      </c>
      <c r="L35" s="5">
        <v>9608</v>
      </c>
      <c r="M35" s="3" t="s">
        <v>119</v>
      </c>
      <c r="N35" s="3">
        <v>4.4000000000000004</v>
      </c>
      <c r="O35" s="6">
        <f t="shared" si="0"/>
        <v>74</v>
      </c>
      <c r="P35" s="5">
        <f t="shared" si="1"/>
        <v>9608</v>
      </c>
    </row>
    <row r="36" spans="1:16" x14ac:dyDescent="0.35">
      <c r="A36" s="3" t="s">
        <v>120</v>
      </c>
      <c r="B36" s="3" t="s">
        <v>27</v>
      </c>
      <c r="C36" s="3" t="s">
        <v>38</v>
      </c>
      <c r="D36" s="4">
        <v>44667</v>
      </c>
      <c r="E36" s="4">
        <v>44693</v>
      </c>
      <c r="F36" s="3" t="s">
        <v>19</v>
      </c>
      <c r="G36" s="3" t="s">
        <v>39</v>
      </c>
      <c r="H36" s="3">
        <v>100</v>
      </c>
      <c r="I36" s="3">
        <v>17</v>
      </c>
      <c r="J36" s="3">
        <v>2</v>
      </c>
      <c r="K36" s="3">
        <v>1</v>
      </c>
      <c r="L36" s="5">
        <v>1503</v>
      </c>
      <c r="M36" s="3" t="s">
        <v>40</v>
      </c>
      <c r="N36" s="3">
        <v>3</v>
      </c>
      <c r="O36" s="6">
        <f t="shared" si="0"/>
        <v>26</v>
      </c>
      <c r="P36" s="5">
        <f t="shared" si="1"/>
        <v>1503</v>
      </c>
    </row>
    <row r="37" spans="1:16" x14ac:dyDescent="0.35">
      <c r="A37" s="3" t="s">
        <v>121</v>
      </c>
      <c r="B37" s="3" t="s">
        <v>33</v>
      </c>
      <c r="C37" s="3" t="s">
        <v>62</v>
      </c>
      <c r="D37" s="4">
        <v>44082</v>
      </c>
      <c r="E37" s="4">
        <v>44126</v>
      </c>
      <c r="F37" s="3" t="s">
        <v>19</v>
      </c>
      <c r="G37" s="3" t="s">
        <v>30</v>
      </c>
      <c r="H37" s="3">
        <v>97</v>
      </c>
      <c r="I37" s="3">
        <v>20</v>
      </c>
      <c r="J37" s="3">
        <v>1</v>
      </c>
      <c r="K37" s="3">
        <v>1</v>
      </c>
      <c r="L37" s="5">
        <v>10290</v>
      </c>
      <c r="M37" s="3" t="s">
        <v>63</v>
      </c>
      <c r="N37" s="3">
        <v>4.5</v>
      </c>
      <c r="O37" s="6">
        <f t="shared" si="0"/>
        <v>44</v>
      </c>
      <c r="P37" s="5">
        <f t="shared" si="1"/>
        <v>10290</v>
      </c>
    </row>
    <row r="38" spans="1:16" x14ac:dyDescent="0.35">
      <c r="A38" s="3" t="s">
        <v>122</v>
      </c>
      <c r="B38" s="3" t="s">
        <v>17</v>
      </c>
      <c r="C38" s="3" t="s">
        <v>123</v>
      </c>
      <c r="D38" s="4">
        <v>44052</v>
      </c>
      <c r="E38" s="3"/>
      <c r="F38" s="3" t="s">
        <v>124</v>
      </c>
      <c r="G38" s="3" t="s">
        <v>39</v>
      </c>
      <c r="H38" s="3">
        <v>109</v>
      </c>
      <c r="I38" s="3">
        <v>13</v>
      </c>
      <c r="J38" s="3">
        <v>1</v>
      </c>
      <c r="K38" s="3">
        <v>0</v>
      </c>
      <c r="L38" s="5">
        <v>1236</v>
      </c>
      <c r="M38" s="3" t="s">
        <v>90</v>
      </c>
      <c r="N38" s="3">
        <v>3.3</v>
      </c>
      <c r="O38" s="6" t="str">
        <f t="shared" si="0"/>
        <v/>
      </c>
      <c r="P38" s="5" t="str">
        <f t="shared" si="1"/>
        <v/>
      </c>
    </row>
    <row r="39" spans="1:16" x14ac:dyDescent="0.35">
      <c r="A39" s="3" t="s">
        <v>125</v>
      </c>
      <c r="B39" s="3" t="s">
        <v>65</v>
      </c>
      <c r="C39" s="3" t="s">
        <v>126</v>
      </c>
      <c r="D39" s="4">
        <v>44888</v>
      </c>
      <c r="E39" s="4">
        <v>44914</v>
      </c>
      <c r="F39" s="3" t="s">
        <v>19</v>
      </c>
      <c r="G39" s="3" t="s">
        <v>30</v>
      </c>
      <c r="H39" s="3">
        <v>105</v>
      </c>
      <c r="I39" s="3">
        <v>18</v>
      </c>
      <c r="J39" s="3">
        <v>2</v>
      </c>
      <c r="K39" s="3">
        <v>1</v>
      </c>
      <c r="L39" s="5">
        <v>9976</v>
      </c>
      <c r="M39" s="3" t="s">
        <v>108</v>
      </c>
      <c r="N39" s="3">
        <v>4.3</v>
      </c>
      <c r="O39" s="6">
        <f t="shared" si="0"/>
        <v>26</v>
      </c>
      <c r="P39" s="5">
        <f t="shared" si="1"/>
        <v>9976</v>
      </c>
    </row>
    <row r="40" spans="1:16" x14ac:dyDescent="0.35">
      <c r="A40" s="3" t="s">
        <v>127</v>
      </c>
      <c r="B40" s="3" t="s">
        <v>65</v>
      </c>
      <c r="C40" s="3" t="s">
        <v>66</v>
      </c>
      <c r="D40" s="4">
        <v>44759</v>
      </c>
      <c r="E40" s="3"/>
      <c r="F40" s="3" t="s">
        <v>29</v>
      </c>
      <c r="G40" s="3" t="s">
        <v>30</v>
      </c>
      <c r="H40" s="3">
        <v>116</v>
      </c>
      <c r="I40" s="3">
        <v>6</v>
      </c>
      <c r="J40" s="3">
        <v>1</v>
      </c>
      <c r="K40" s="3">
        <v>0</v>
      </c>
      <c r="L40" s="5">
        <v>9993</v>
      </c>
      <c r="M40" s="3" t="s">
        <v>128</v>
      </c>
      <c r="N40" s="3">
        <v>4.8</v>
      </c>
      <c r="O40" s="6" t="str">
        <f t="shared" si="0"/>
        <v/>
      </c>
      <c r="P40" s="5" t="str">
        <f t="shared" si="1"/>
        <v/>
      </c>
    </row>
    <row r="41" spans="1:16" x14ac:dyDescent="0.35">
      <c r="A41" s="3" t="s">
        <v>129</v>
      </c>
      <c r="B41" s="3" t="s">
        <v>65</v>
      </c>
      <c r="C41" s="3" t="s">
        <v>66</v>
      </c>
      <c r="D41" s="4">
        <v>46268</v>
      </c>
      <c r="E41" s="3"/>
      <c r="F41" s="3" t="s">
        <v>29</v>
      </c>
      <c r="G41" s="3" t="s">
        <v>75</v>
      </c>
      <c r="H41" s="3">
        <v>36</v>
      </c>
      <c r="I41" s="3">
        <v>14</v>
      </c>
      <c r="J41" s="3">
        <v>1</v>
      </c>
      <c r="K41" s="3">
        <v>1</v>
      </c>
      <c r="L41" s="5">
        <v>5375</v>
      </c>
      <c r="M41" s="3" t="s">
        <v>128</v>
      </c>
      <c r="N41" s="3">
        <v>2.5</v>
      </c>
      <c r="O41" s="6" t="str">
        <f t="shared" si="0"/>
        <v/>
      </c>
      <c r="P41" s="5">
        <f t="shared" si="1"/>
        <v>5375</v>
      </c>
    </row>
    <row r="42" spans="1:16" x14ac:dyDescent="0.35">
      <c r="A42" s="3" t="s">
        <v>130</v>
      </c>
      <c r="B42" s="3" t="s">
        <v>52</v>
      </c>
      <c r="C42" s="3" t="s">
        <v>131</v>
      </c>
      <c r="D42" s="4">
        <v>45639</v>
      </c>
      <c r="E42" s="3"/>
      <c r="F42" s="3" t="s">
        <v>29</v>
      </c>
      <c r="G42" s="3" t="s">
        <v>20</v>
      </c>
      <c r="H42" s="3">
        <v>105</v>
      </c>
      <c r="I42" s="3">
        <v>11</v>
      </c>
      <c r="J42" s="3">
        <v>0</v>
      </c>
      <c r="K42" s="3">
        <v>0</v>
      </c>
      <c r="L42" s="5">
        <v>2375</v>
      </c>
      <c r="M42" s="3" t="s">
        <v>132</v>
      </c>
      <c r="N42" s="3">
        <v>2.8</v>
      </c>
      <c r="O42" s="6" t="str">
        <f t="shared" si="0"/>
        <v/>
      </c>
      <c r="P42" s="5" t="str">
        <f t="shared" si="1"/>
        <v/>
      </c>
    </row>
    <row r="43" spans="1:16" x14ac:dyDescent="0.35">
      <c r="A43" s="3" t="s">
        <v>133</v>
      </c>
      <c r="B43" s="3" t="s">
        <v>48</v>
      </c>
      <c r="C43" s="3" t="s">
        <v>134</v>
      </c>
      <c r="D43" s="4">
        <v>45228</v>
      </c>
      <c r="E43" s="4">
        <v>45280</v>
      </c>
      <c r="F43" s="3" t="s">
        <v>19</v>
      </c>
      <c r="G43" s="3" t="s">
        <v>75</v>
      </c>
      <c r="H43" s="3">
        <v>86</v>
      </c>
      <c r="I43" s="3">
        <v>3</v>
      </c>
      <c r="J43" s="3">
        <v>1</v>
      </c>
      <c r="K43" s="3">
        <v>1</v>
      </c>
      <c r="L43" s="5">
        <v>3963</v>
      </c>
      <c r="M43" s="3" t="s">
        <v>56</v>
      </c>
      <c r="N43" s="3">
        <v>4.2</v>
      </c>
      <c r="O43" s="6">
        <f t="shared" si="0"/>
        <v>52</v>
      </c>
      <c r="P43" s="5">
        <f t="shared" si="1"/>
        <v>3963</v>
      </c>
    </row>
    <row r="44" spans="1:16" x14ac:dyDescent="0.35">
      <c r="A44" s="3" t="s">
        <v>135</v>
      </c>
      <c r="B44" s="3" t="s">
        <v>52</v>
      </c>
      <c r="C44" s="3" t="s">
        <v>80</v>
      </c>
      <c r="D44" s="4">
        <v>46011</v>
      </c>
      <c r="E44" s="3"/>
      <c r="F44" s="3" t="s">
        <v>29</v>
      </c>
      <c r="G44" s="3" t="s">
        <v>39</v>
      </c>
      <c r="H44" s="3">
        <v>39</v>
      </c>
      <c r="I44" s="3">
        <v>8</v>
      </c>
      <c r="J44" s="3">
        <v>0</v>
      </c>
      <c r="K44" s="3">
        <v>0</v>
      </c>
      <c r="L44" s="5">
        <v>1782</v>
      </c>
      <c r="M44" s="3" t="s">
        <v>136</v>
      </c>
      <c r="N44" s="3">
        <v>3.2</v>
      </c>
      <c r="O44" s="6" t="str">
        <f t="shared" si="0"/>
        <v/>
      </c>
      <c r="P44" s="5" t="str">
        <f t="shared" si="1"/>
        <v/>
      </c>
    </row>
    <row r="45" spans="1:16" x14ac:dyDescent="0.35">
      <c r="A45" s="3" t="s">
        <v>137</v>
      </c>
      <c r="B45" s="3" t="s">
        <v>82</v>
      </c>
      <c r="C45" s="3" t="s">
        <v>138</v>
      </c>
      <c r="D45" s="4">
        <v>44986</v>
      </c>
      <c r="E45" s="4">
        <v>45010</v>
      </c>
      <c r="F45" s="3" t="s">
        <v>19</v>
      </c>
      <c r="G45" s="3" t="s">
        <v>35</v>
      </c>
      <c r="H45" s="3">
        <v>64</v>
      </c>
      <c r="I45" s="3">
        <v>6</v>
      </c>
      <c r="J45" s="3">
        <v>1</v>
      </c>
      <c r="K45" s="3">
        <v>1</v>
      </c>
      <c r="L45" s="5">
        <v>754</v>
      </c>
      <c r="M45" s="3" t="s">
        <v>119</v>
      </c>
      <c r="N45" s="3">
        <v>3.8</v>
      </c>
      <c r="O45" s="6">
        <f t="shared" si="0"/>
        <v>24</v>
      </c>
      <c r="P45" s="5">
        <f t="shared" si="1"/>
        <v>754</v>
      </c>
    </row>
    <row r="46" spans="1:16" x14ac:dyDescent="0.35">
      <c r="A46" s="3" t="s">
        <v>139</v>
      </c>
      <c r="B46" s="3" t="s">
        <v>33</v>
      </c>
      <c r="C46" s="3" t="s">
        <v>34</v>
      </c>
      <c r="D46" s="4">
        <v>46279</v>
      </c>
      <c r="E46" s="3"/>
      <c r="F46" s="3" t="s">
        <v>29</v>
      </c>
      <c r="G46" s="3" t="s">
        <v>39</v>
      </c>
      <c r="H46" s="3">
        <v>118</v>
      </c>
      <c r="I46" s="3">
        <v>4</v>
      </c>
      <c r="J46" s="3">
        <v>1</v>
      </c>
      <c r="K46" s="3">
        <v>1</v>
      </c>
      <c r="L46" s="5">
        <v>1473</v>
      </c>
      <c r="M46" s="3" t="s">
        <v>96</v>
      </c>
      <c r="N46" s="3">
        <v>3.6</v>
      </c>
      <c r="O46" s="6" t="str">
        <f t="shared" si="0"/>
        <v/>
      </c>
      <c r="P46" s="5">
        <f t="shared" si="1"/>
        <v>1473</v>
      </c>
    </row>
    <row r="47" spans="1:16" x14ac:dyDescent="0.35">
      <c r="A47" s="3" t="s">
        <v>140</v>
      </c>
      <c r="B47" s="3" t="s">
        <v>27</v>
      </c>
      <c r="C47" s="3" t="s">
        <v>38</v>
      </c>
      <c r="D47" s="4">
        <v>45721</v>
      </c>
      <c r="E47" s="4">
        <v>45744</v>
      </c>
      <c r="F47" s="3" t="s">
        <v>19</v>
      </c>
      <c r="G47" s="3" t="s">
        <v>20</v>
      </c>
      <c r="H47" s="3">
        <v>95</v>
      </c>
      <c r="I47" s="3">
        <v>18</v>
      </c>
      <c r="J47" s="3">
        <v>1</v>
      </c>
      <c r="K47" s="3">
        <v>1</v>
      </c>
      <c r="L47" s="5">
        <v>2765</v>
      </c>
      <c r="M47" s="3" t="s">
        <v>141</v>
      </c>
      <c r="N47" s="3">
        <v>3.5</v>
      </c>
      <c r="O47" s="6">
        <f t="shared" si="0"/>
        <v>23</v>
      </c>
      <c r="P47" s="5">
        <f t="shared" si="1"/>
        <v>2765</v>
      </c>
    </row>
    <row r="48" spans="1:16" x14ac:dyDescent="0.35">
      <c r="A48" s="3" t="s">
        <v>142</v>
      </c>
      <c r="B48" s="3" t="s">
        <v>17</v>
      </c>
      <c r="C48" s="3" t="s">
        <v>78</v>
      </c>
      <c r="D48" s="4">
        <v>43923</v>
      </c>
      <c r="E48" s="4">
        <v>43995</v>
      </c>
      <c r="F48" s="3" t="s">
        <v>19</v>
      </c>
      <c r="G48" s="3" t="s">
        <v>20</v>
      </c>
      <c r="H48" s="3">
        <v>27</v>
      </c>
      <c r="I48" s="3">
        <v>13</v>
      </c>
      <c r="J48" s="3">
        <v>2</v>
      </c>
      <c r="K48" s="3">
        <v>1</v>
      </c>
      <c r="L48" s="5">
        <v>2129</v>
      </c>
      <c r="M48" s="3" t="s">
        <v>143</v>
      </c>
      <c r="N48" s="3">
        <v>4.2</v>
      </c>
      <c r="O48" s="6">
        <f t="shared" si="0"/>
        <v>72</v>
      </c>
      <c r="P48" s="5">
        <f t="shared" si="1"/>
        <v>2129</v>
      </c>
    </row>
    <row r="49" spans="1:16" x14ac:dyDescent="0.35">
      <c r="A49" s="3" t="s">
        <v>144</v>
      </c>
      <c r="B49" s="3" t="s">
        <v>52</v>
      </c>
      <c r="C49" s="3" t="s">
        <v>115</v>
      </c>
      <c r="D49" s="4">
        <v>44745</v>
      </c>
      <c r="E49" s="4">
        <v>44818</v>
      </c>
      <c r="F49" s="3" t="s">
        <v>19</v>
      </c>
      <c r="G49" s="3" t="s">
        <v>30</v>
      </c>
      <c r="H49" s="3">
        <v>96</v>
      </c>
      <c r="I49" s="3">
        <v>9</v>
      </c>
      <c r="J49" s="3">
        <v>1</v>
      </c>
      <c r="K49" s="3">
        <v>1</v>
      </c>
      <c r="L49" s="5">
        <v>7895</v>
      </c>
      <c r="M49" s="3" t="s">
        <v>116</v>
      </c>
      <c r="N49" s="3">
        <v>3.3</v>
      </c>
      <c r="O49" s="6">
        <f t="shared" si="0"/>
        <v>73</v>
      </c>
      <c r="P49" s="5">
        <f t="shared" si="1"/>
        <v>7895</v>
      </c>
    </row>
    <row r="50" spans="1:16" x14ac:dyDescent="0.35">
      <c r="A50" s="3" t="s">
        <v>145</v>
      </c>
      <c r="B50" s="3" t="s">
        <v>48</v>
      </c>
      <c r="C50" s="3" t="s">
        <v>49</v>
      </c>
      <c r="D50" s="4">
        <v>44381</v>
      </c>
      <c r="E50" s="3"/>
      <c r="F50" s="3" t="s">
        <v>124</v>
      </c>
      <c r="G50" s="3" t="s">
        <v>30</v>
      </c>
      <c r="H50" s="3">
        <v>22</v>
      </c>
      <c r="I50" s="3">
        <v>18</v>
      </c>
      <c r="J50" s="3">
        <v>1</v>
      </c>
      <c r="K50" s="3">
        <v>1</v>
      </c>
      <c r="L50" s="5">
        <v>10458</v>
      </c>
      <c r="M50" s="3" t="s">
        <v>146</v>
      </c>
      <c r="N50" s="3">
        <v>3.5</v>
      </c>
      <c r="O50" s="6" t="str">
        <f t="shared" si="0"/>
        <v/>
      </c>
      <c r="P50" s="5">
        <f t="shared" si="1"/>
        <v>10458</v>
      </c>
    </row>
    <row r="51" spans="1:16" x14ac:dyDescent="0.35">
      <c r="A51" s="3" t="s">
        <v>147</v>
      </c>
      <c r="B51" s="3" t="s">
        <v>52</v>
      </c>
      <c r="C51" s="3" t="s">
        <v>115</v>
      </c>
      <c r="D51" s="4">
        <v>45354</v>
      </c>
      <c r="E51" s="4">
        <v>45428</v>
      </c>
      <c r="F51" s="3" t="s">
        <v>19</v>
      </c>
      <c r="G51" s="3" t="s">
        <v>30</v>
      </c>
      <c r="H51" s="3">
        <v>96</v>
      </c>
      <c r="I51" s="3">
        <v>11</v>
      </c>
      <c r="J51" s="3">
        <v>1</v>
      </c>
      <c r="K51" s="3">
        <v>1</v>
      </c>
      <c r="L51" s="5">
        <v>8876</v>
      </c>
      <c r="M51" s="3" t="s">
        <v>54</v>
      </c>
      <c r="N51" s="3">
        <v>4.9000000000000004</v>
      </c>
      <c r="O51" s="6">
        <f t="shared" si="0"/>
        <v>74</v>
      </c>
      <c r="P51" s="5">
        <f t="shared" si="1"/>
        <v>8876</v>
      </c>
    </row>
    <row r="52" spans="1:16" x14ac:dyDescent="0.35">
      <c r="A52" s="3" t="s">
        <v>148</v>
      </c>
      <c r="B52" s="3" t="s">
        <v>33</v>
      </c>
      <c r="C52" s="3" t="s">
        <v>62</v>
      </c>
      <c r="D52" s="4">
        <v>45376</v>
      </c>
      <c r="E52" s="4">
        <v>45403</v>
      </c>
      <c r="F52" s="3" t="s">
        <v>19</v>
      </c>
      <c r="G52" s="3" t="s">
        <v>35</v>
      </c>
      <c r="H52" s="3">
        <v>81</v>
      </c>
      <c r="I52" s="3">
        <v>4</v>
      </c>
      <c r="J52" s="3">
        <v>1</v>
      </c>
      <c r="K52" s="3">
        <v>1</v>
      </c>
      <c r="L52" s="5">
        <v>790</v>
      </c>
      <c r="M52" s="3" t="s">
        <v>63</v>
      </c>
      <c r="N52" s="3">
        <v>3</v>
      </c>
      <c r="O52" s="6">
        <f t="shared" si="0"/>
        <v>27</v>
      </c>
      <c r="P52" s="5">
        <f t="shared" si="1"/>
        <v>790</v>
      </c>
    </row>
    <row r="53" spans="1:16" x14ac:dyDescent="0.35">
      <c r="A53" s="3" t="s">
        <v>149</v>
      </c>
      <c r="B53" s="3" t="s">
        <v>82</v>
      </c>
      <c r="C53" s="3" t="s">
        <v>138</v>
      </c>
      <c r="D53" s="4">
        <v>45795</v>
      </c>
      <c r="E53" s="3"/>
      <c r="F53" s="3" t="s">
        <v>29</v>
      </c>
      <c r="G53" s="3" t="s">
        <v>39</v>
      </c>
      <c r="H53" s="3">
        <v>103</v>
      </c>
      <c r="I53" s="3">
        <v>11</v>
      </c>
      <c r="J53" s="3">
        <v>0</v>
      </c>
      <c r="K53" s="3">
        <v>0</v>
      </c>
      <c r="L53" s="5">
        <v>1508</v>
      </c>
      <c r="M53" s="3" t="s">
        <v>84</v>
      </c>
      <c r="N53" s="3">
        <v>2.7</v>
      </c>
      <c r="O53" s="6" t="str">
        <f t="shared" si="0"/>
        <v/>
      </c>
      <c r="P53" s="5" t="str">
        <f t="shared" si="1"/>
        <v/>
      </c>
    </row>
    <row r="54" spans="1:16" x14ac:dyDescent="0.35">
      <c r="A54" s="3" t="s">
        <v>150</v>
      </c>
      <c r="B54" s="3" t="s">
        <v>48</v>
      </c>
      <c r="C54" s="3" t="s">
        <v>105</v>
      </c>
      <c r="D54" s="4">
        <v>44505</v>
      </c>
      <c r="E54" s="3"/>
      <c r="F54" s="3" t="s">
        <v>29</v>
      </c>
      <c r="G54" s="3" t="s">
        <v>30</v>
      </c>
      <c r="H54" s="3">
        <v>41</v>
      </c>
      <c r="I54" s="3">
        <v>7</v>
      </c>
      <c r="J54" s="3">
        <v>1</v>
      </c>
      <c r="K54" s="3">
        <v>0</v>
      </c>
      <c r="L54" s="5">
        <v>8920</v>
      </c>
      <c r="M54" s="3" t="s">
        <v>151</v>
      </c>
      <c r="N54" s="3">
        <v>4</v>
      </c>
      <c r="O54" s="6" t="str">
        <f t="shared" si="0"/>
        <v/>
      </c>
      <c r="P54" s="5" t="str">
        <f t="shared" si="1"/>
        <v/>
      </c>
    </row>
    <row r="55" spans="1:16" x14ac:dyDescent="0.35">
      <c r="A55" s="3" t="s">
        <v>152</v>
      </c>
      <c r="B55" s="3" t="s">
        <v>52</v>
      </c>
      <c r="C55" s="3" t="s">
        <v>53</v>
      </c>
      <c r="D55" s="4">
        <v>46125</v>
      </c>
      <c r="E55" s="4">
        <v>46176</v>
      </c>
      <c r="F55" s="3" t="s">
        <v>19</v>
      </c>
      <c r="G55" s="3" t="s">
        <v>30</v>
      </c>
      <c r="H55" s="3">
        <v>53</v>
      </c>
      <c r="I55" s="3">
        <v>10</v>
      </c>
      <c r="J55" s="3">
        <v>1</v>
      </c>
      <c r="K55" s="3">
        <v>1</v>
      </c>
      <c r="L55" s="5">
        <v>8833</v>
      </c>
      <c r="M55" s="3" t="s">
        <v>132</v>
      </c>
      <c r="N55" s="3">
        <v>3.7</v>
      </c>
      <c r="O55" s="6">
        <f t="shared" si="0"/>
        <v>51</v>
      </c>
      <c r="P55" s="5">
        <f t="shared" si="1"/>
        <v>8833</v>
      </c>
    </row>
    <row r="56" spans="1:16" x14ac:dyDescent="0.35">
      <c r="A56" s="3" t="s">
        <v>153</v>
      </c>
      <c r="B56" s="3" t="s">
        <v>27</v>
      </c>
      <c r="C56" s="3" t="s">
        <v>28</v>
      </c>
      <c r="D56" s="4">
        <v>45463</v>
      </c>
      <c r="E56" s="4">
        <v>45491</v>
      </c>
      <c r="F56" s="3" t="s">
        <v>19</v>
      </c>
      <c r="G56" s="3" t="s">
        <v>39</v>
      </c>
      <c r="H56" s="3">
        <v>24</v>
      </c>
      <c r="I56" s="3">
        <v>10</v>
      </c>
      <c r="J56" s="3">
        <v>1</v>
      </c>
      <c r="K56" s="3">
        <v>1</v>
      </c>
      <c r="L56" s="5">
        <v>1941</v>
      </c>
      <c r="M56" s="3" t="s">
        <v>154</v>
      </c>
      <c r="N56" s="3">
        <v>3.3</v>
      </c>
      <c r="O56" s="6">
        <f t="shared" si="0"/>
        <v>28</v>
      </c>
      <c r="P56" s="5">
        <f t="shared" si="1"/>
        <v>1941</v>
      </c>
    </row>
    <row r="57" spans="1:16" x14ac:dyDescent="0.35">
      <c r="A57" s="3" t="s">
        <v>155</v>
      </c>
      <c r="B57" s="3" t="s">
        <v>23</v>
      </c>
      <c r="C57" s="3" t="s">
        <v>98</v>
      </c>
      <c r="D57" s="4">
        <v>45436</v>
      </c>
      <c r="E57" s="4">
        <v>45485</v>
      </c>
      <c r="F57" s="3" t="s">
        <v>19</v>
      </c>
      <c r="G57" s="3" t="s">
        <v>35</v>
      </c>
      <c r="H57" s="3">
        <v>17</v>
      </c>
      <c r="I57" s="3">
        <v>14</v>
      </c>
      <c r="J57" s="3">
        <v>1</v>
      </c>
      <c r="K57" s="3">
        <v>1</v>
      </c>
      <c r="L57" s="5">
        <v>838</v>
      </c>
      <c r="M57" s="3" t="s">
        <v>103</v>
      </c>
      <c r="N57" s="3">
        <v>3.1</v>
      </c>
      <c r="O57" s="6">
        <f t="shared" si="0"/>
        <v>49</v>
      </c>
      <c r="P57" s="5">
        <f t="shared" si="1"/>
        <v>838</v>
      </c>
    </row>
    <row r="58" spans="1:16" x14ac:dyDescent="0.35">
      <c r="A58" s="3" t="s">
        <v>156</v>
      </c>
      <c r="B58" s="3" t="s">
        <v>58</v>
      </c>
      <c r="C58" s="3" t="s">
        <v>74</v>
      </c>
      <c r="D58" s="4">
        <v>45961</v>
      </c>
      <c r="E58" s="4">
        <v>45989</v>
      </c>
      <c r="F58" s="3" t="s">
        <v>19</v>
      </c>
      <c r="G58" s="3" t="s">
        <v>20</v>
      </c>
      <c r="H58" s="3">
        <v>76</v>
      </c>
      <c r="I58" s="3">
        <v>20</v>
      </c>
      <c r="J58" s="3">
        <v>1</v>
      </c>
      <c r="K58" s="3">
        <v>1</v>
      </c>
      <c r="L58" s="5">
        <v>2310</v>
      </c>
      <c r="M58" s="3" t="s">
        <v>157</v>
      </c>
      <c r="N58" s="3">
        <v>5</v>
      </c>
      <c r="O58" s="6">
        <f t="shared" si="0"/>
        <v>28</v>
      </c>
      <c r="P58" s="5">
        <f t="shared" si="1"/>
        <v>2310</v>
      </c>
    </row>
    <row r="59" spans="1:16" x14ac:dyDescent="0.35">
      <c r="A59" s="3" t="s">
        <v>158</v>
      </c>
      <c r="B59" s="3" t="s">
        <v>33</v>
      </c>
      <c r="C59" s="3" t="s">
        <v>34</v>
      </c>
      <c r="D59" s="4">
        <v>44025</v>
      </c>
      <c r="E59" s="4">
        <v>44068</v>
      </c>
      <c r="F59" s="3" t="s">
        <v>19</v>
      </c>
      <c r="G59" s="3" t="s">
        <v>39</v>
      </c>
      <c r="H59" s="3">
        <v>36</v>
      </c>
      <c r="I59" s="3">
        <v>9</v>
      </c>
      <c r="J59" s="3">
        <v>2</v>
      </c>
      <c r="K59" s="3">
        <v>1</v>
      </c>
      <c r="L59" s="5">
        <v>1882</v>
      </c>
      <c r="M59" s="3" t="s">
        <v>94</v>
      </c>
      <c r="N59" s="3">
        <v>2.7</v>
      </c>
      <c r="O59" s="6">
        <f t="shared" si="0"/>
        <v>43</v>
      </c>
      <c r="P59" s="5">
        <f t="shared" si="1"/>
        <v>1882</v>
      </c>
    </row>
    <row r="60" spans="1:16" x14ac:dyDescent="0.35">
      <c r="A60" s="3" t="s">
        <v>159</v>
      </c>
      <c r="B60" s="3" t="s">
        <v>65</v>
      </c>
      <c r="C60" s="3" t="s">
        <v>126</v>
      </c>
      <c r="D60" s="4">
        <v>44448</v>
      </c>
      <c r="E60" s="4">
        <v>44499</v>
      </c>
      <c r="F60" s="3" t="s">
        <v>19</v>
      </c>
      <c r="G60" s="3" t="s">
        <v>35</v>
      </c>
      <c r="H60" s="3">
        <v>102</v>
      </c>
      <c r="I60" s="3">
        <v>10</v>
      </c>
      <c r="J60" s="3">
        <v>1</v>
      </c>
      <c r="K60" s="3">
        <v>1</v>
      </c>
      <c r="L60" s="5">
        <v>729</v>
      </c>
      <c r="M60" s="3" t="s">
        <v>108</v>
      </c>
      <c r="N60" s="3">
        <v>4.9000000000000004</v>
      </c>
      <c r="O60" s="6">
        <f t="shared" si="0"/>
        <v>51</v>
      </c>
      <c r="P60" s="5">
        <f t="shared" si="1"/>
        <v>729</v>
      </c>
    </row>
    <row r="61" spans="1:16" x14ac:dyDescent="0.35">
      <c r="A61" s="3" t="s">
        <v>160</v>
      </c>
      <c r="B61" s="3" t="s">
        <v>65</v>
      </c>
      <c r="C61" s="3" t="s">
        <v>126</v>
      </c>
      <c r="D61" s="4">
        <v>44383</v>
      </c>
      <c r="E61" s="4">
        <v>44443</v>
      </c>
      <c r="F61" s="3" t="s">
        <v>19</v>
      </c>
      <c r="G61" s="3" t="s">
        <v>75</v>
      </c>
      <c r="H61" s="3">
        <v>88</v>
      </c>
      <c r="I61" s="3">
        <v>19</v>
      </c>
      <c r="J61" s="3">
        <v>1</v>
      </c>
      <c r="K61" s="3">
        <v>1</v>
      </c>
      <c r="L61" s="5">
        <v>4720</v>
      </c>
      <c r="M61" s="3" t="s">
        <v>128</v>
      </c>
      <c r="N61" s="3">
        <v>4.5999999999999996</v>
      </c>
      <c r="O61" s="6">
        <f t="shared" si="0"/>
        <v>60</v>
      </c>
      <c r="P61" s="5">
        <f t="shared" si="1"/>
        <v>4720</v>
      </c>
    </row>
    <row r="62" spans="1:16" x14ac:dyDescent="0.35">
      <c r="A62" s="3" t="s">
        <v>161</v>
      </c>
      <c r="B62" s="3" t="s">
        <v>48</v>
      </c>
      <c r="C62" s="3" t="s">
        <v>49</v>
      </c>
      <c r="D62" s="4">
        <v>45537</v>
      </c>
      <c r="E62" s="3"/>
      <c r="F62" s="3" t="s">
        <v>29</v>
      </c>
      <c r="G62" s="3" t="s">
        <v>75</v>
      </c>
      <c r="H62" s="3">
        <v>90</v>
      </c>
      <c r="I62" s="3">
        <v>7</v>
      </c>
      <c r="J62" s="3">
        <v>1</v>
      </c>
      <c r="K62" s="3">
        <v>0</v>
      </c>
      <c r="L62" s="5">
        <v>5223</v>
      </c>
      <c r="M62" s="3" t="s">
        <v>106</v>
      </c>
      <c r="N62" s="3">
        <v>3.9</v>
      </c>
      <c r="O62" s="6" t="str">
        <f t="shared" si="0"/>
        <v/>
      </c>
      <c r="P62" s="5" t="str">
        <f t="shared" si="1"/>
        <v/>
      </c>
    </row>
    <row r="63" spans="1:16" x14ac:dyDescent="0.35">
      <c r="A63" s="3" t="s">
        <v>162</v>
      </c>
      <c r="B63" s="3" t="s">
        <v>52</v>
      </c>
      <c r="C63" s="3" t="s">
        <v>53</v>
      </c>
      <c r="D63" s="4">
        <v>44113</v>
      </c>
      <c r="E63" s="4">
        <v>44174</v>
      </c>
      <c r="F63" s="3" t="s">
        <v>19</v>
      </c>
      <c r="G63" s="3" t="s">
        <v>30</v>
      </c>
      <c r="H63" s="3">
        <v>35</v>
      </c>
      <c r="I63" s="3">
        <v>12</v>
      </c>
      <c r="J63" s="3">
        <v>2</v>
      </c>
      <c r="K63" s="3">
        <v>1</v>
      </c>
      <c r="L63" s="5">
        <v>12303</v>
      </c>
      <c r="M63" s="3" t="s">
        <v>54</v>
      </c>
      <c r="N63" s="3">
        <v>4.4000000000000004</v>
      </c>
      <c r="O63" s="6">
        <f t="shared" si="0"/>
        <v>61</v>
      </c>
      <c r="P63" s="5">
        <f t="shared" si="1"/>
        <v>12303</v>
      </c>
    </row>
    <row r="64" spans="1:16" x14ac:dyDescent="0.35">
      <c r="A64" s="3" t="s">
        <v>163</v>
      </c>
      <c r="B64" s="3" t="s">
        <v>42</v>
      </c>
      <c r="C64" s="3" t="s">
        <v>164</v>
      </c>
      <c r="D64" s="4">
        <v>44224</v>
      </c>
      <c r="E64" s="4">
        <v>44263</v>
      </c>
      <c r="F64" s="3" t="s">
        <v>19</v>
      </c>
      <c r="G64" s="3" t="s">
        <v>35</v>
      </c>
      <c r="H64" s="3">
        <v>38</v>
      </c>
      <c r="I64" s="3">
        <v>5</v>
      </c>
      <c r="J64" s="3">
        <v>1</v>
      </c>
      <c r="K64" s="3">
        <v>1</v>
      </c>
      <c r="L64" s="5">
        <v>971</v>
      </c>
      <c r="M64" s="3" t="s">
        <v>165</v>
      </c>
      <c r="N64" s="3">
        <v>3.4</v>
      </c>
      <c r="O64" s="6">
        <f t="shared" si="0"/>
        <v>39</v>
      </c>
      <c r="P64" s="5">
        <f t="shared" si="1"/>
        <v>971</v>
      </c>
    </row>
    <row r="65" spans="1:16" x14ac:dyDescent="0.35">
      <c r="A65" s="3" t="s">
        <v>166</v>
      </c>
      <c r="B65" s="3" t="s">
        <v>42</v>
      </c>
      <c r="C65" s="3" t="s">
        <v>43</v>
      </c>
      <c r="D65" s="4">
        <v>45618</v>
      </c>
      <c r="E65" s="3"/>
      <c r="F65" s="3" t="s">
        <v>29</v>
      </c>
      <c r="G65" s="3" t="s">
        <v>75</v>
      </c>
      <c r="H65" s="3">
        <v>94</v>
      </c>
      <c r="I65" s="3">
        <v>8</v>
      </c>
      <c r="J65" s="3">
        <v>1</v>
      </c>
      <c r="K65" s="3">
        <v>0</v>
      </c>
      <c r="L65" s="5">
        <v>5304</v>
      </c>
      <c r="M65" s="3" t="s">
        <v>167</v>
      </c>
      <c r="N65" s="3">
        <v>3</v>
      </c>
      <c r="O65" s="6" t="str">
        <f t="shared" si="0"/>
        <v/>
      </c>
      <c r="P65" s="5" t="str">
        <f t="shared" si="1"/>
        <v/>
      </c>
    </row>
    <row r="66" spans="1:16" x14ac:dyDescent="0.35">
      <c r="A66" s="3" t="s">
        <v>168</v>
      </c>
      <c r="B66" s="3" t="s">
        <v>82</v>
      </c>
      <c r="C66" s="3" t="s">
        <v>138</v>
      </c>
      <c r="D66" s="4">
        <v>45245</v>
      </c>
      <c r="E66" s="3"/>
      <c r="F66" s="3" t="s">
        <v>29</v>
      </c>
      <c r="G66" s="3" t="s">
        <v>20</v>
      </c>
      <c r="H66" s="3">
        <v>73</v>
      </c>
      <c r="I66" s="3">
        <v>18</v>
      </c>
      <c r="J66" s="3">
        <v>2</v>
      </c>
      <c r="K66" s="3">
        <v>1</v>
      </c>
      <c r="L66" s="5">
        <v>2606</v>
      </c>
      <c r="M66" s="3" t="s">
        <v>119</v>
      </c>
      <c r="N66" s="3">
        <v>2.6</v>
      </c>
      <c r="O66" s="6" t="str">
        <f t="shared" ref="O66:O129" si="2">IF(F66="Filled",E66-D66,"")</f>
        <v/>
      </c>
      <c r="P66" s="5">
        <f t="shared" ref="P66:P129" si="3">IF(K66&gt;0,L66/K66,"")</f>
        <v>2606</v>
      </c>
    </row>
    <row r="67" spans="1:16" x14ac:dyDescent="0.35">
      <c r="A67" s="3" t="s">
        <v>169</v>
      </c>
      <c r="B67" s="3" t="s">
        <v>17</v>
      </c>
      <c r="C67" s="3" t="s">
        <v>18</v>
      </c>
      <c r="D67" s="4">
        <v>45878</v>
      </c>
      <c r="E67" s="4">
        <v>45948</v>
      </c>
      <c r="F67" s="3" t="s">
        <v>19</v>
      </c>
      <c r="G67" s="3" t="s">
        <v>39</v>
      </c>
      <c r="H67" s="3">
        <v>88</v>
      </c>
      <c r="I67" s="3">
        <v>10</v>
      </c>
      <c r="J67" s="3">
        <v>1</v>
      </c>
      <c r="K67" s="3">
        <v>1</v>
      </c>
      <c r="L67" s="5">
        <v>1687</v>
      </c>
      <c r="M67" s="3" t="s">
        <v>21</v>
      </c>
      <c r="N67" s="3">
        <v>4.2</v>
      </c>
      <c r="O67" s="6">
        <f t="shared" si="2"/>
        <v>70</v>
      </c>
      <c r="P67" s="5">
        <f t="shared" si="3"/>
        <v>1687</v>
      </c>
    </row>
    <row r="68" spans="1:16" x14ac:dyDescent="0.35">
      <c r="A68" s="3" t="s">
        <v>170</v>
      </c>
      <c r="B68" s="3" t="s">
        <v>33</v>
      </c>
      <c r="C68" s="3" t="s">
        <v>34</v>
      </c>
      <c r="D68" s="4">
        <v>44705</v>
      </c>
      <c r="E68" s="4">
        <v>44733</v>
      </c>
      <c r="F68" s="3" t="s">
        <v>19</v>
      </c>
      <c r="G68" s="3" t="s">
        <v>20</v>
      </c>
      <c r="H68" s="3">
        <v>37</v>
      </c>
      <c r="I68" s="3">
        <v>10</v>
      </c>
      <c r="J68" s="3">
        <v>1</v>
      </c>
      <c r="K68" s="3">
        <v>1</v>
      </c>
      <c r="L68" s="5">
        <v>2566</v>
      </c>
      <c r="M68" s="3" t="s">
        <v>36</v>
      </c>
      <c r="N68" s="3">
        <v>3.9</v>
      </c>
      <c r="O68" s="6">
        <f t="shared" si="2"/>
        <v>28</v>
      </c>
      <c r="P68" s="5">
        <f t="shared" si="3"/>
        <v>2566</v>
      </c>
    </row>
    <row r="69" spans="1:16" x14ac:dyDescent="0.35">
      <c r="A69" s="3" t="s">
        <v>171</v>
      </c>
      <c r="B69" s="3" t="s">
        <v>52</v>
      </c>
      <c r="C69" s="3" t="s">
        <v>131</v>
      </c>
      <c r="D69" s="4">
        <v>44000</v>
      </c>
      <c r="E69" s="4">
        <v>44028</v>
      </c>
      <c r="F69" s="3" t="s">
        <v>19</v>
      </c>
      <c r="G69" s="3" t="s">
        <v>30</v>
      </c>
      <c r="H69" s="3">
        <v>111</v>
      </c>
      <c r="I69" s="3">
        <v>14</v>
      </c>
      <c r="J69" s="3">
        <v>1</v>
      </c>
      <c r="K69" s="3">
        <v>1</v>
      </c>
      <c r="L69" s="5">
        <v>12114</v>
      </c>
      <c r="M69" s="3" t="s">
        <v>54</v>
      </c>
      <c r="N69" s="3">
        <v>3</v>
      </c>
      <c r="O69" s="6">
        <f t="shared" si="2"/>
        <v>28</v>
      </c>
      <c r="P69" s="5">
        <f t="shared" si="3"/>
        <v>12114</v>
      </c>
    </row>
    <row r="70" spans="1:16" x14ac:dyDescent="0.35">
      <c r="A70" s="3" t="s">
        <v>172</v>
      </c>
      <c r="B70" s="3" t="s">
        <v>33</v>
      </c>
      <c r="C70" s="3" t="s">
        <v>34</v>
      </c>
      <c r="D70" s="4">
        <v>43897</v>
      </c>
      <c r="E70" s="3"/>
      <c r="F70" s="3" t="s">
        <v>29</v>
      </c>
      <c r="G70" s="3" t="s">
        <v>30</v>
      </c>
      <c r="H70" s="3">
        <v>87</v>
      </c>
      <c r="I70" s="3">
        <v>11</v>
      </c>
      <c r="J70" s="3">
        <v>0</v>
      </c>
      <c r="K70" s="3">
        <v>0</v>
      </c>
      <c r="L70" s="5">
        <v>10393</v>
      </c>
      <c r="M70" s="3" t="s">
        <v>96</v>
      </c>
      <c r="N70" s="3">
        <v>5</v>
      </c>
      <c r="O70" s="6" t="str">
        <f t="shared" si="2"/>
        <v/>
      </c>
      <c r="P70" s="5" t="str">
        <f t="shared" si="3"/>
        <v/>
      </c>
    </row>
    <row r="71" spans="1:16" x14ac:dyDescent="0.35">
      <c r="A71" s="3" t="s">
        <v>173</v>
      </c>
      <c r="B71" s="3" t="s">
        <v>23</v>
      </c>
      <c r="C71" s="3" t="s">
        <v>24</v>
      </c>
      <c r="D71" s="4">
        <v>45364</v>
      </c>
      <c r="E71" s="4">
        <v>45436</v>
      </c>
      <c r="F71" s="3" t="s">
        <v>19</v>
      </c>
      <c r="G71" s="3" t="s">
        <v>39</v>
      </c>
      <c r="H71" s="3">
        <v>102</v>
      </c>
      <c r="I71" s="3">
        <v>18</v>
      </c>
      <c r="J71" s="3">
        <v>1</v>
      </c>
      <c r="K71" s="3">
        <v>1</v>
      </c>
      <c r="L71" s="5">
        <v>1579</v>
      </c>
      <c r="M71" s="3" t="s">
        <v>25</v>
      </c>
      <c r="N71" s="3">
        <v>4.7</v>
      </c>
      <c r="O71" s="6">
        <f t="shared" si="2"/>
        <v>72</v>
      </c>
      <c r="P71" s="5">
        <f t="shared" si="3"/>
        <v>1579</v>
      </c>
    </row>
    <row r="72" spans="1:16" x14ac:dyDescent="0.35">
      <c r="A72" s="3" t="s">
        <v>174</v>
      </c>
      <c r="B72" s="3" t="s">
        <v>58</v>
      </c>
      <c r="C72" s="3" t="s">
        <v>59</v>
      </c>
      <c r="D72" s="4">
        <v>44763</v>
      </c>
      <c r="E72" s="3"/>
      <c r="F72" s="3" t="s">
        <v>29</v>
      </c>
      <c r="G72" s="3" t="s">
        <v>75</v>
      </c>
      <c r="H72" s="3">
        <v>69</v>
      </c>
      <c r="I72" s="3">
        <v>13</v>
      </c>
      <c r="J72" s="3">
        <v>2</v>
      </c>
      <c r="K72" s="3">
        <v>0</v>
      </c>
      <c r="L72" s="5">
        <v>4934</v>
      </c>
      <c r="M72" s="3" t="s">
        <v>60</v>
      </c>
      <c r="N72" s="3">
        <v>4.0999999999999996</v>
      </c>
      <c r="O72" s="6" t="str">
        <f t="shared" si="2"/>
        <v/>
      </c>
      <c r="P72" s="5" t="str">
        <f t="shared" si="3"/>
        <v/>
      </c>
    </row>
    <row r="73" spans="1:16" x14ac:dyDescent="0.35">
      <c r="A73" s="3" t="s">
        <v>175</v>
      </c>
      <c r="B73" s="3" t="s">
        <v>27</v>
      </c>
      <c r="C73" s="3" t="s">
        <v>176</v>
      </c>
      <c r="D73" s="4">
        <v>45525</v>
      </c>
      <c r="E73" s="3"/>
      <c r="F73" s="3" t="s">
        <v>124</v>
      </c>
      <c r="G73" s="3" t="s">
        <v>39</v>
      </c>
      <c r="H73" s="3">
        <v>56</v>
      </c>
      <c r="I73" s="3">
        <v>16</v>
      </c>
      <c r="J73" s="3">
        <v>1</v>
      </c>
      <c r="K73" s="3">
        <v>1</v>
      </c>
      <c r="L73" s="5">
        <v>1438</v>
      </c>
      <c r="M73" s="3" t="s">
        <v>40</v>
      </c>
      <c r="N73" s="3">
        <v>2.9</v>
      </c>
      <c r="O73" s="6" t="str">
        <f t="shared" si="2"/>
        <v/>
      </c>
      <c r="P73" s="5">
        <f t="shared" si="3"/>
        <v>1438</v>
      </c>
    </row>
    <row r="74" spans="1:16" x14ac:dyDescent="0.35">
      <c r="A74" s="3" t="s">
        <v>177</v>
      </c>
      <c r="B74" s="3" t="s">
        <v>42</v>
      </c>
      <c r="C74" s="3" t="s">
        <v>87</v>
      </c>
      <c r="D74" s="4">
        <v>45263</v>
      </c>
      <c r="E74" s="3"/>
      <c r="F74" s="3" t="s">
        <v>29</v>
      </c>
      <c r="G74" s="3" t="s">
        <v>20</v>
      </c>
      <c r="H74" s="3">
        <v>84</v>
      </c>
      <c r="I74" s="3">
        <v>18</v>
      </c>
      <c r="J74" s="3">
        <v>1</v>
      </c>
      <c r="K74" s="3">
        <v>0</v>
      </c>
      <c r="L74" s="5">
        <v>2120</v>
      </c>
      <c r="M74" s="3" t="s">
        <v>178</v>
      </c>
      <c r="N74" s="3">
        <v>4.7</v>
      </c>
      <c r="O74" s="6" t="str">
        <f t="shared" si="2"/>
        <v/>
      </c>
      <c r="P74" s="5" t="str">
        <f t="shared" si="3"/>
        <v/>
      </c>
    </row>
    <row r="75" spans="1:16" x14ac:dyDescent="0.35">
      <c r="A75" s="3" t="s">
        <v>179</v>
      </c>
      <c r="B75" s="3" t="s">
        <v>65</v>
      </c>
      <c r="C75" s="3" t="s">
        <v>66</v>
      </c>
      <c r="D75" s="4">
        <v>46117</v>
      </c>
      <c r="E75" s="4">
        <v>46186</v>
      </c>
      <c r="F75" s="3" t="s">
        <v>19</v>
      </c>
      <c r="G75" s="3" t="s">
        <v>75</v>
      </c>
      <c r="H75" s="3">
        <v>86</v>
      </c>
      <c r="I75" s="3">
        <v>6</v>
      </c>
      <c r="J75" s="3">
        <v>2</v>
      </c>
      <c r="K75" s="3">
        <v>1</v>
      </c>
      <c r="L75" s="5">
        <v>5219</v>
      </c>
      <c r="M75" s="3" t="s">
        <v>180</v>
      </c>
      <c r="N75" s="3">
        <v>3.1</v>
      </c>
      <c r="O75" s="6">
        <f t="shared" si="2"/>
        <v>69</v>
      </c>
      <c r="P75" s="5">
        <f t="shared" si="3"/>
        <v>5219</v>
      </c>
    </row>
    <row r="76" spans="1:16" x14ac:dyDescent="0.35">
      <c r="A76" s="3" t="s">
        <v>181</v>
      </c>
      <c r="B76" s="3" t="s">
        <v>33</v>
      </c>
      <c r="C76" s="3" t="s">
        <v>62</v>
      </c>
      <c r="D76" s="4">
        <v>46061</v>
      </c>
      <c r="E76" s="3"/>
      <c r="F76" s="3" t="s">
        <v>29</v>
      </c>
      <c r="G76" s="3" t="s">
        <v>75</v>
      </c>
      <c r="H76" s="3">
        <v>30</v>
      </c>
      <c r="I76" s="3">
        <v>4</v>
      </c>
      <c r="J76" s="3">
        <v>0</v>
      </c>
      <c r="K76" s="3">
        <v>0</v>
      </c>
      <c r="L76" s="5">
        <v>4739</v>
      </c>
      <c r="M76" s="3" t="s">
        <v>96</v>
      </c>
      <c r="N76" s="3">
        <v>4.9000000000000004</v>
      </c>
      <c r="O76" s="6" t="str">
        <f t="shared" si="2"/>
        <v/>
      </c>
      <c r="P76" s="5" t="str">
        <f t="shared" si="3"/>
        <v/>
      </c>
    </row>
    <row r="77" spans="1:16" x14ac:dyDescent="0.35">
      <c r="A77" s="3" t="s">
        <v>182</v>
      </c>
      <c r="B77" s="3" t="s">
        <v>33</v>
      </c>
      <c r="C77" s="3" t="s">
        <v>46</v>
      </c>
      <c r="D77" s="4">
        <v>44021</v>
      </c>
      <c r="E77" s="3"/>
      <c r="F77" s="3" t="s">
        <v>29</v>
      </c>
      <c r="G77" s="3" t="s">
        <v>20</v>
      </c>
      <c r="H77" s="3">
        <v>49</v>
      </c>
      <c r="I77" s="3">
        <v>10</v>
      </c>
      <c r="J77" s="3">
        <v>1</v>
      </c>
      <c r="K77" s="3">
        <v>1</v>
      </c>
      <c r="L77" s="5">
        <v>2709</v>
      </c>
      <c r="M77" s="3" t="s">
        <v>96</v>
      </c>
      <c r="N77" s="3">
        <v>3.5</v>
      </c>
      <c r="O77" s="6" t="str">
        <f t="shared" si="2"/>
        <v/>
      </c>
      <c r="P77" s="5">
        <f t="shared" si="3"/>
        <v>2709</v>
      </c>
    </row>
    <row r="78" spans="1:16" x14ac:dyDescent="0.35">
      <c r="A78" s="3" t="s">
        <v>183</v>
      </c>
      <c r="B78" s="3" t="s">
        <v>82</v>
      </c>
      <c r="C78" s="3" t="s">
        <v>83</v>
      </c>
      <c r="D78" s="4">
        <v>44436</v>
      </c>
      <c r="E78" s="3"/>
      <c r="F78" s="3" t="s">
        <v>29</v>
      </c>
      <c r="G78" s="3" t="s">
        <v>35</v>
      </c>
      <c r="H78" s="3">
        <v>50</v>
      </c>
      <c r="I78" s="3">
        <v>20</v>
      </c>
      <c r="J78" s="3">
        <v>1</v>
      </c>
      <c r="K78" s="3">
        <v>1</v>
      </c>
      <c r="L78" s="5">
        <v>771</v>
      </c>
      <c r="M78" s="3" t="s">
        <v>184</v>
      </c>
      <c r="N78" s="3">
        <v>3.4</v>
      </c>
      <c r="O78" s="6" t="str">
        <f t="shared" si="2"/>
        <v/>
      </c>
      <c r="P78" s="5">
        <f t="shared" si="3"/>
        <v>771</v>
      </c>
    </row>
    <row r="79" spans="1:16" x14ac:dyDescent="0.35">
      <c r="A79" s="3" t="s">
        <v>185</v>
      </c>
      <c r="B79" s="3" t="s">
        <v>58</v>
      </c>
      <c r="C79" s="3" t="s">
        <v>59</v>
      </c>
      <c r="D79" s="4">
        <v>46206</v>
      </c>
      <c r="E79" s="4">
        <v>46228</v>
      </c>
      <c r="F79" s="3" t="s">
        <v>19</v>
      </c>
      <c r="G79" s="3" t="s">
        <v>39</v>
      </c>
      <c r="H79" s="3">
        <v>14</v>
      </c>
      <c r="I79" s="3">
        <v>4</v>
      </c>
      <c r="J79" s="3">
        <v>1</v>
      </c>
      <c r="K79" s="3">
        <v>1</v>
      </c>
      <c r="L79" s="5">
        <v>1586</v>
      </c>
      <c r="M79" s="3" t="s">
        <v>186</v>
      </c>
      <c r="N79" s="3">
        <v>4</v>
      </c>
      <c r="O79" s="6">
        <f t="shared" si="2"/>
        <v>22</v>
      </c>
      <c r="P79" s="5">
        <f t="shared" si="3"/>
        <v>1586</v>
      </c>
    </row>
    <row r="80" spans="1:16" x14ac:dyDescent="0.35">
      <c r="A80" s="3" t="s">
        <v>187</v>
      </c>
      <c r="B80" s="3" t="s">
        <v>42</v>
      </c>
      <c r="C80" s="3" t="s">
        <v>188</v>
      </c>
      <c r="D80" s="4">
        <v>46266</v>
      </c>
      <c r="E80" s="3"/>
      <c r="F80" s="3" t="s">
        <v>29</v>
      </c>
      <c r="G80" s="3" t="s">
        <v>75</v>
      </c>
      <c r="H80" s="3">
        <v>78</v>
      </c>
      <c r="I80" s="3">
        <v>9</v>
      </c>
      <c r="J80" s="3">
        <v>1</v>
      </c>
      <c r="K80" s="3">
        <v>0</v>
      </c>
      <c r="L80" s="5">
        <v>5695</v>
      </c>
      <c r="M80" s="3" t="s">
        <v>44</v>
      </c>
      <c r="N80" s="3">
        <v>4.0999999999999996</v>
      </c>
      <c r="O80" s="6" t="str">
        <f t="shared" si="2"/>
        <v/>
      </c>
      <c r="P80" s="5" t="str">
        <f t="shared" si="3"/>
        <v/>
      </c>
    </row>
    <row r="81" spans="1:16" x14ac:dyDescent="0.35">
      <c r="A81" s="3" t="s">
        <v>189</v>
      </c>
      <c r="B81" s="3" t="s">
        <v>52</v>
      </c>
      <c r="C81" s="3" t="s">
        <v>80</v>
      </c>
      <c r="D81" s="4">
        <v>44101</v>
      </c>
      <c r="E81" s="4">
        <v>44133</v>
      </c>
      <c r="F81" s="3" t="s">
        <v>19</v>
      </c>
      <c r="G81" s="3" t="s">
        <v>35</v>
      </c>
      <c r="H81" s="3">
        <v>9</v>
      </c>
      <c r="I81" s="3">
        <v>5</v>
      </c>
      <c r="J81" s="3">
        <v>1</v>
      </c>
      <c r="K81" s="3">
        <v>1</v>
      </c>
      <c r="L81" s="5">
        <v>883</v>
      </c>
      <c r="M81" s="3" t="s">
        <v>136</v>
      </c>
      <c r="N81" s="3">
        <v>3.1</v>
      </c>
      <c r="O81" s="6">
        <f t="shared" si="2"/>
        <v>32</v>
      </c>
      <c r="P81" s="5">
        <f t="shared" si="3"/>
        <v>883</v>
      </c>
    </row>
    <row r="82" spans="1:16" x14ac:dyDescent="0.35">
      <c r="A82" s="3" t="s">
        <v>190</v>
      </c>
      <c r="B82" s="3" t="s">
        <v>82</v>
      </c>
      <c r="C82" s="3" t="s">
        <v>118</v>
      </c>
      <c r="D82" s="4">
        <v>46011</v>
      </c>
      <c r="E82" s="4">
        <v>46055</v>
      </c>
      <c r="F82" s="3" t="s">
        <v>19</v>
      </c>
      <c r="G82" s="3" t="s">
        <v>39</v>
      </c>
      <c r="H82" s="3">
        <v>81</v>
      </c>
      <c r="I82" s="3">
        <v>12</v>
      </c>
      <c r="J82" s="3">
        <v>1</v>
      </c>
      <c r="K82" s="3">
        <v>1</v>
      </c>
      <c r="L82" s="5">
        <v>1684</v>
      </c>
      <c r="M82" s="3" t="s">
        <v>119</v>
      </c>
      <c r="N82" s="3">
        <v>2.7</v>
      </c>
      <c r="O82" s="6">
        <f t="shared" si="2"/>
        <v>44</v>
      </c>
      <c r="P82" s="5">
        <f t="shared" si="3"/>
        <v>1684</v>
      </c>
    </row>
    <row r="83" spans="1:16" x14ac:dyDescent="0.35">
      <c r="A83" s="3" t="s">
        <v>191</v>
      </c>
      <c r="B83" s="3" t="s">
        <v>33</v>
      </c>
      <c r="C83" s="3" t="s">
        <v>93</v>
      </c>
      <c r="D83" s="4">
        <v>45156</v>
      </c>
      <c r="E83" s="4">
        <v>45217</v>
      </c>
      <c r="F83" s="3" t="s">
        <v>19</v>
      </c>
      <c r="G83" s="3" t="s">
        <v>20</v>
      </c>
      <c r="H83" s="3">
        <v>50</v>
      </c>
      <c r="I83" s="3">
        <v>13</v>
      </c>
      <c r="J83" s="3">
        <v>1</v>
      </c>
      <c r="K83" s="3">
        <v>1</v>
      </c>
      <c r="L83" s="5">
        <v>2281</v>
      </c>
      <c r="M83" s="3" t="s">
        <v>192</v>
      </c>
      <c r="N83" s="3">
        <v>4.7</v>
      </c>
      <c r="O83" s="6">
        <f t="shared" si="2"/>
        <v>61</v>
      </c>
      <c r="P83" s="5">
        <f t="shared" si="3"/>
        <v>2281</v>
      </c>
    </row>
    <row r="84" spans="1:16" x14ac:dyDescent="0.35">
      <c r="A84" s="3" t="s">
        <v>193</v>
      </c>
      <c r="B84" s="3" t="s">
        <v>42</v>
      </c>
      <c r="C84" s="3" t="s">
        <v>188</v>
      </c>
      <c r="D84" s="4">
        <v>44315</v>
      </c>
      <c r="E84" s="4">
        <v>44387</v>
      </c>
      <c r="F84" s="3" t="s">
        <v>19</v>
      </c>
      <c r="G84" s="3" t="s">
        <v>39</v>
      </c>
      <c r="H84" s="3">
        <v>36</v>
      </c>
      <c r="I84" s="3">
        <v>6</v>
      </c>
      <c r="J84" s="3">
        <v>1</v>
      </c>
      <c r="K84" s="3">
        <v>1</v>
      </c>
      <c r="L84" s="5">
        <v>1240</v>
      </c>
      <c r="M84" s="3" t="s">
        <v>44</v>
      </c>
      <c r="N84" s="3">
        <v>3.1</v>
      </c>
      <c r="O84" s="6">
        <f t="shared" si="2"/>
        <v>72</v>
      </c>
      <c r="P84" s="5">
        <f t="shared" si="3"/>
        <v>1240</v>
      </c>
    </row>
    <row r="85" spans="1:16" x14ac:dyDescent="0.35">
      <c r="A85" s="3" t="s">
        <v>194</v>
      </c>
      <c r="B85" s="3" t="s">
        <v>17</v>
      </c>
      <c r="C85" s="3" t="s">
        <v>18</v>
      </c>
      <c r="D85" s="4">
        <v>46149</v>
      </c>
      <c r="E85" s="4">
        <v>46202</v>
      </c>
      <c r="F85" s="3" t="s">
        <v>19</v>
      </c>
      <c r="G85" s="3" t="s">
        <v>30</v>
      </c>
      <c r="H85" s="3">
        <v>94</v>
      </c>
      <c r="I85" s="3">
        <v>3</v>
      </c>
      <c r="J85" s="3">
        <v>1</v>
      </c>
      <c r="K85" s="3">
        <v>1</v>
      </c>
      <c r="L85" s="5">
        <v>12126</v>
      </c>
      <c r="M85" s="3" t="s">
        <v>143</v>
      </c>
      <c r="N85" s="3">
        <v>3.9</v>
      </c>
      <c r="O85" s="6">
        <f t="shared" si="2"/>
        <v>53</v>
      </c>
      <c r="P85" s="5">
        <f t="shared" si="3"/>
        <v>12126</v>
      </c>
    </row>
    <row r="86" spans="1:16" x14ac:dyDescent="0.35">
      <c r="A86" s="3" t="s">
        <v>195</v>
      </c>
      <c r="B86" s="3" t="s">
        <v>48</v>
      </c>
      <c r="C86" s="3" t="s">
        <v>105</v>
      </c>
      <c r="D86" s="4">
        <v>46172</v>
      </c>
      <c r="E86" s="4">
        <v>46234</v>
      </c>
      <c r="F86" s="3" t="s">
        <v>19</v>
      </c>
      <c r="G86" s="3" t="s">
        <v>30</v>
      </c>
      <c r="H86" s="3">
        <v>60</v>
      </c>
      <c r="I86" s="3">
        <v>9</v>
      </c>
      <c r="J86" s="3">
        <v>1</v>
      </c>
      <c r="K86" s="3">
        <v>1</v>
      </c>
      <c r="L86" s="5">
        <v>9862</v>
      </c>
      <c r="M86" s="3" t="s">
        <v>151</v>
      </c>
      <c r="N86" s="3">
        <v>4.0999999999999996</v>
      </c>
      <c r="O86" s="6">
        <f t="shared" si="2"/>
        <v>62</v>
      </c>
      <c r="P86" s="5">
        <f t="shared" si="3"/>
        <v>9862</v>
      </c>
    </row>
    <row r="87" spans="1:16" x14ac:dyDescent="0.35">
      <c r="A87" s="3" t="s">
        <v>196</v>
      </c>
      <c r="B87" s="3" t="s">
        <v>65</v>
      </c>
      <c r="C87" s="3" t="s">
        <v>197</v>
      </c>
      <c r="D87" s="4">
        <v>46075</v>
      </c>
      <c r="E87" s="4">
        <v>46119</v>
      </c>
      <c r="F87" s="3" t="s">
        <v>19</v>
      </c>
      <c r="G87" s="3" t="s">
        <v>75</v>
      </c>
      <c r="H87" s="3">
        <v>14</v>
      </c>
      <c r="I87" s="3">
        <v>6</v>
      </c>
      <c r="J87" s="3">
        <v>1</v>
      </c>
      <c r="K87" s="3">
        <v>1</v>
      </c>
      <c r="L87" s="5">
        <v>3604</v>
      </c>
      <c r="M87" s="3" t="s">
        <v>128</v>
      </c>
      <c r="N87" s="3">
        <v>4.3</v>
      </c>
      <c r="O87" s="6">
        <f t="shared" si="2"/>
        <v>44</v>
      </c>
      <c r="P87" s="5">
        <f t="shared" si="3"/>
        <v>3604</v>
      </c>
    </row>
    <row r="88" spans="1:16" x14ac:dyDescent="0.35">
      <c r="A88" s="3" t="s">
        <v>198</v>
      </c>
      <c r="B88" s="3" t="s">
        <v>65</v>
      </c>
      <c r="C88" s="3" t="s">
        <v>110</v>
      </c>
      <c r="D88" s="4">
        <v>44295</v>
      </c>
      <c r="E88" s="4">
        <v>44322</v>
      </c>
      <c r="F88" s="3" t="s">
        <v>19</v>
      </c>
      <c r="G88" s="3" t="s">
        <v>35</v>
      </c>
      <c r="H88" s="3">
        <v>111</v>
      </c>
      <c r="I88" s="3">
        <v>9</v>
      </c>
      <c r="J88" s="3">
        <v>1</v>
      </c>
      <c r="K88" s="3">
        <v>1</v>
      </c>
      <c r="L88" s="5">
        <v>750</v>
      </c>
      <c r="M88" s="3" t="s">
        <v>128</v>
      </c>
      <c r="N88" s="3">
        <v>3.8</v>
      </c>
      <c r="O88" s="6">
        <f t="shared" si="2"/>
        <v>27</v>
      </c>
      <c r="P88" s="5">
        <f t="shared" si="3"/>
        <v>750</v>
      </c>
    </row>
    <row r="89" spans="1:16" x14ac:dyDescent="0.35">
      <c r="A89" s="3" t="s">
        <v>199</v>
      </c>
      <c r="B89" s="3" t="s">
        <v>65</v>
      </c>
      <c r="C89" s="3" t="s">
        <v>66</v>
      </c>
      <c r="D89" s="4">
        <v>44784</v>
      </c>
      <c r="E89" s="3"/>
      <c r="F89" s="3" t="s">
        <v>124</v>
      </c>
      <c r="G89" s="3" t="s">
        <v>75</v>
      </c>
      <c r="H89" s="3">
        <v>48</v>
      </c>
      <c r="I89" s="3">
        <v>10</v>
      </c>
      <c r="J89" s="3">
        <v>1</v>
      </c>
      <c r="K89" s="3">
        <v>0</v>
      </c>
      <c r="L89" s="5">
        <v>4681</v>
      </c>
      <c r="M89" s="3" t="s">
        <v>108</v>
      </c>
      <c r="N89" s="3">
        <v>2.8</v>
      </c>
      <c r="O89" s="6" t="str">
        <f t="shared" si="2"/>
        <v/>
      </c>
      <c r="P89" s="5" t="str">
        <f t="shared" si="3"/>
        <v/>
      </c>
    </row>
    <row r="90" spans="1:16" x14ac:dyDescent="0.35">
      <c r="A90" s="3" t="s">
        <v>200</v>
      </c>
      <c r="B90" s="3" t="s">
        <v>82</v>
      </c>
      <c r="C90" s="3" t="s">
        <v>201</v>
      </c>
      <c r="D90" s="4">
        <v>44693</v>
      </c>
      <c r="E90" s="4">
        <v>44747</v>
      </c>
      <c r="F90" s="3" t="s">
        <v>19</v>
      </c>
      <c r="G90" s="3" t="s">
        <v>30</v>
      </c>
      <c r="H90" s="3">
        <v>113</v>
      </c>
      <c r="I90" s="3">
        <v>12</v>
      </c>
      <c r="J90" s="3">
        <v>1</v>
      </c>
      <c r="K90" s="3">
        <v>1</v>
      </c>
      <c r="L90" s="5">
        <v>10637</v>
      </c>
      <c r="M90" s="3" t="s">
        <v>84</v>
      </c>
      <c r="N90" s="3">
        <v>3.9</v>
      </c>
      <c r="O90" s="6">
        <f t="shared" si="2"/>
        <v>54</v>
      </c>
      <c r="P90" s="5">
        <f t="shared" si="3"/>
        <v>10637</v>
      </c>
    </row>
    <row r="91" spans="1:16" x14ac:dyDescent="0.35">
      <c r="A91" s="3" t="s">
        <v>202</v>
      </c>
      <c r="B91" s="3" t="s">
        <v>58</v>
      </c>
      <c r="C91" s="3" t="s">
        <v>59</v>
      </c>
      <c r="D91" s="4">
        <v>44247</v>
      </c>
      <c r="E91" s="3"/>
      <c r="F91" s="3" t="s">
        <v>29</v>
      </c>
      <c r="G91" s="3" t="s">
        <v>35</v>
      </c>
      <c r="H91" s="3">
        <v>46</v>
      </c>
      <c r="I91" s="3">
        <v>12</v>
      </c>
      <c r="J91" s="3">
        <v>0</v>
      </c>
      <c r="K91" s="3">
        <v>0</v>
      </c>
      <c r="L91" s="5">
        <v>898</v>
      </c>
      <c r="M91" s="3" t="s">
        <v>203</v>
      </c>
      <c r="N91" s="3">
        <v>2.6</v>
      </c>
      <c r="O91" s="6" t="str">
        <f t="shared" si="2"/>
        <v/>
      </c>
      <c r="P91" s="5" t="str">
        <f t="shared" si="3"/>
        <v/>
      </c>
    </row>
    <row r="92" spans="1:16" x14ac:dyDescent="0.35">
      <c r="A92" s="3" t="s">
        <v>204</v>
      </c>
      <c r="B92" s="3" t="s">
        <v>23</v>
      </c>
      <c r="C92" s="3" t="s">
        <v>24</v>
      </c>
      <c r="D92" s="4">
        <v>45787</v>
      </c>
      <c r="E92" s="4">
        <v>45861</v>
      </c>
      <c r="F92" s="3" t="s">
        <v>19</v>
      </c>
      <c r="G92" s="3" t="s">
        <v>35</v>
      </c>
      <c r="H92" s="3">
        <v>61</v>
      </c>
      <c r="I92" s="3">
        <v>6</v>
      </c>
      <c r="J92" s="3">
        <v>1</v>
      </c>
      <c r="K92" s="3">
        <v>1</v>
      </c>
      <c r="L92" s="5">
        <v>915</v>
      </c>
      <c r="M92" s="3" t="s">
        <v>25</v>
      </c>
      <c r="N92" s="3">
        <v>4.5</v>
      </c>
      <c r="O92" s="6">
        <f t="shared" si="2"/>
        <v>74</v>
      </c>
      <c r="P92" s="5">
        <f t="shared" si="3"/>
        <v>915</v>
      </c>
    </row>
    <row r="93" spans="1:16" x14ac:dyDescent="0.35">
      <c r="A93" s="3" t="s">
        <v>205</v>
      </c>
      <c r="B93" s="3" t="s">
        <v>82</v>
      </c>
      <c r="C93" s="3" t="s">
        <v>201</v>
      </c>
      <c r="D93" s="4">
        <v>44285</v>
      </c>
      <c r="E93" s="4">
        <v>44322</v>
      </c>
      <c r="F93" s="3" t="s">
        <v>19</v>
      </c>
      <c r="G93" s="3" t="s">
        <v>35</v>
      </c>
      <c r="H93" s="3">
        <v>89</v>
      </c>
      <c r="I93" s="3">
        <v>10</v>
      </c>
      <c r="J93" s="3">
        <v>2</v>
      </c>
      <c r="K93" s="3">
        <v>1</v>
      </c>
      <c r="L93" s="5">
        <v>985</v>
      </c>
      <c r="M93" s="3" t="s">
        <v>184</v>
      </c>
      <c r="N93" s="3">
        <v>3.7</v>
      </c>
      <c r="O93" s="6">
        <f t="shared" si="2"/>
        <v>37</v>
      </c>
      <c r="P93" s="5">
        <f t="shared" si="3"/>
        <v>985</v>
      </c>
    </row>
    <row r="94" spans="1:16" x14ac:dyDescent="0.35">
      <c r="A94" s="3" t="s">
        <v>206</v>
      </c>
      <c r="B94" s="3" t="s">
        <v>42</v>
      </c>
      <c r="C94" s="3" t="s">
        <v>188</v>
      </c>
      <c r="D94" s="4">
        <v>45582</v>
      </c>
      <c r="E94" s="3"/>
      <c r="F94" s="3" t="s">
        <v>29</v>
      </c>
      <c r="G94" s="3" t="s">
        <v>20</v>
      </c>
      <c r="H94" s="3">
        <v>23</v>
      </c>
      <c r="I94" s="3">
        <v>14</v>
      </c>
      <c r="J94" s="3">
        <v>0</v>
      </c>
      <c r="K94" s="3">
        <v>0</v>
      </c>
      <c r="L94" s="5">
        <v>2332</v>
      </c>
      <c r="M94" s="3" t="s">
        <v>178</v>
      </c>
      <c r="N94" s="3">
        <v>3.7</v>
      </c>
      <c r="O94" s="6" t="str">
        <f t="shared" si="2"/>
        <v/>
      </c>
      <c r="P94" s="5" t="str">
        <f t="shared" si="3"/>
        <v/>
      </c>
    </row>
    <row r="95" spans="1:16" x14ac:dyDescent="0.35">
      <c r="A95" s="3" t="s">
        <v>207</v>
      </c>
      <c r="B95" s="3" t="s">
        <v>42</v>
      </c>
      <c r="C95" s="3" t="s">
        <v>43</v>
      </c>
      <c r="D95" s="4">
        <v>43983</v>
      </c>
      <c r="E95" s="3"/>
      <c r="F95" s="3" t="s">
        <v>29</v>
      </c>
      <c r="G95" s="3" t="s">
        <v>75</v>
      </c>
      <c r="H95" s="3">
        <v>113</v>
      </c>
      <c r="I95" s="3">
        <v>4</v>
      </c>
      <c r="J95" s="3">
        <v>1</v>
      </c>
      <c r="K95" s="3">
        <v>0</v>
      </c>
      <c r="L95" s="5">
        <v>4387</v>
      </c>
      <c r="M95" s="3" t="s">
        <v>178</v>
      </c>
      <c r="N95" s="3">
        <v>4.2</v>
      </c>
      <c r="O95" s="6" t="str">
        <f t="shared" si="2"/>
        <v/>
      </c>
      <c r="P95" s="5" t="str">
        <f t="shared" si="3"/>
        <v/>
      </c>
    </row>
    <row r="96" spans="1:16" x14ac:dyDescent="0.35">
      <c r="A96" s="3" t="s">
        <v>208</v>
      </c>
      <c r="B96" s="3" t="s">
        <v>58</v>
      </c>
      <c r="C96" s="3" t="s">
        <v>209</v>
      </c>
      <c r="D96" s="4">
        <v>45530</v>
      </c>
      <c r="E96" s="4">
        <v>45584</v>
      </c>
      <c r="F96" s="3" t="s">
        <v>19</v>
      </c>
      <c r="G96" s="3" t="s">
        <v>39</v>
      </c>
      <c r="H96" s="3">
        <v>18</v>
      </c>
      <c r="I96" s="3">
        <v>14</v>
      </c>
      <c r="J96" s="3">
        <v>1</v>
      </c>
      <c r="K96" s="3">
        <v>1</v>
      </c>
      <c r="L96" s="5">
        <v>1437</v>
      </c>
      <c r="M96" s="3" t="s">
        <v>210</v>
      </c>
      <c r="N96" s="3">
        <v>4</v>
      </c>
      <c r="O96" s="6">
        <f t="shared" si="2"/>
        <v>54</v>
      </c>
      <c r="P96" s="5">
        <f t="shared" si="3"/>
        <v>1437</v>
      </c>
    </row>
    <row r="97" spans="1:16" x14ac:dyDescent="0.35">
      <c r="A97" s="3" t="s">
        <v>211</v>
      </c>
      <c r="B97" s="3" t="s">
        <v>27</v>
      </c>
      <c r="C97" s="3" t="s">
        <v>212</v>
      </c>
      <c r="D97" s="4">
        <v>44584</v>
      </c>
      <c r="E97" s="4">
        <v>44657</v>
      </c>
      <c r="F97" s="3" t="s">
        <v>19</v>
      </c>
      <c r="G97" s="3" t="s">
        <v>35</v>
      </c>
      <c r="H97" s="3">
        <v>18</v>
      </c>
      <c r="I97" s="3">
        <v>3</v>
      </c>
      <c r="J97" s="3">
        <v>1</v>
      </c>
      <c r="K97" s="3">
        <v>1</v>
      </c>
      <c r="L97" s="5">
        <v>844</v>
      </c>
      <c r="M97" s="3" t="s">
        <v>31</v>
      </c>
      <c r="N97" s="3">
        <v>4.8</v>
      </c>
      <c r="O97" s="6">
        <f t="shared" si="2"/>
        <v>73</v>
      </c>
      <c r="P97" s="5">
        <f t="shared" si="3"/>
        <v>844</v>
      </c>
    </row>
    <row r="98" spans="1:16" x14ac:dyDescent="0.35">
      <c r="A98" s="3" t="s">
        <v>213</v>
      </c>
      <c r="B98" s="3" t="s">
        <v>17</v>
      </c>
      <c r="C98" s="3" t="s">
        <v>69</v>
      </c>
      <c r="D98" s="4">
        <v>44681</v>
      </c>
      <c r="E98" s="4">
        <v>44711</v>
      </c>
      <c r="F98" s="3" t="s">
        <v>19</v>
      </c>
      <c r="G98" s="3" t="s">
        <v>20</v>
      </c>
      <c r="H98" s="3">
        <v>35</v>
      </c>
      <c r="I98" s="3">
        <v>4</v>
      </c>
      <c r="J98" s="3">
        <v>1</v>
      </c>
      <c r="K98" s="3">
        <v>1</v>
      </c>
      <c r="L98" s="5">
        <v>1854</v>
      </c>
      <c r="M98" s="3" t="s">
        <v>143</v>
      </c>
      <c r="N98" s="3">
        <v>3.1</v>
      </c>
      <c r="O98" s="6">
        <f t="shared" si="2"/>
        <v>30</v>
      </c>
      <c r="P98" s="5">
        <f t="shared" si="3"/>
        <v>1854</v>
      </c>
    </row>
    <row r="99" spans="1:16" x14ac:dyDescent="0.35">
      <c r="A99" s="3" t="s">
        <v>214</v>
      </c>
      <c r="B99" s="3" t="s">
        <v>82</v>
      </c>
      <c r="C99" s="3" t="s">
        <v>201</v>
      </c>
      <c r="D99" s="4">
        <v>45453</v>
      </c>
      <c r="E99" s="4">
        <v>45510</v>
      </c>
      <c r="F99" s="3" t="s">
        <v>19</v>
      </c>
      <c r="G99" s="3" t="s">
        <v>20</v>
      </c>
      <c r="H99" s="3">
        <v>74</v>
      </c>
      <c r="I99" s="3">
        <v>19</v>
      </c>
      <c r="J99" s="3">
        <v>1</v>
      </c>
      <c r="K99" s="3">
        <v>1</v>
      </c>
      <c r="L99" s="5">
        <v>2328</v>
      </c>
      <c r="M99" s="3" t="s">
        <v>84</v>
      </c>
      <c r="N99" s="3">
        <v>3</v>
      </c>
      <c r="O99" s="6">
        <f t="shared" si="2"/>
        <v>57</v>
      </c>
      <c r="P99" s="5">
        <f t="shared" si="3"/>
        <v>2328</v>
      </c>
    </row>
    <row r="100" spans="1:16" x14ac:dyDescent="0.35">
      <c r="A100" s="3" t="s">
        <v>215</v>
      </c>
      <c r="B100" s="3" t="s">
        <v>33</v>
      </c>
      <c r="C100" s="3" t="s">
        <v>62</v>
      </c>
      <c r="D100" s="4">
        <v>44476</v>
      </c>
      <c r="E100" s="4">
        <v>44507</v>
      </c>
      <c r="F100" s="3" t="s">
        <v>19</v>
      </c>
      <c r="G100" s="3" t="s">
        <v>20</v>
      </c>
      <c r="H100" s="3">
        <v>75</v>
      </c>
      <c r="I100" s="3">
        <v>20</v>
      </c>
      <c r="J100" s="3">
        <v>2</v>
      </c>
      <c r="K100" s="3">
        <v>1</v>
      </c>
      <c r="L100" s="5">
        <v>2452</v>
      </c>
      <c r="M100" s="3" t="s">
        <v>96</v>
      </c>
      <c r="N100" s="3">
        <v>4.0999999999999996</v>
      </c>
      <c r="O100" s="6">
        <f t="shared" si="2"/>
        <v>31</v>
      </c>
      <c r="P100" s="5">
        <f t="shared" si="3"/>
        <v>2452</v>
      </c>
    </row>
    <row r="101" spans="1:16" x14ac:dyDescent="0.35">
      <c r="A101" s="3" t="s">
        <v>216</v>
      </c>
      <c r="B101" s="3" t="s">
        <v>27</v>
      </c>
      <c r="C101" s="3" t="s">
        <v>212</v>
      </c>
      <c r="D101" s="4">
        <v>46247</v>
      </c>
      <c r="E101" s="3"/>
      <c r="F101" s="3" t="s">
        <v>29</v>
      </c>
      <c r="G101" s="3" t="s">
        <v>30</v>
      </c>
      <c r="H101" s="3">
        <v>12</v>
      </c>
      <c r="I101" s="3">
        <v>5</v>
      </c>
      <c r="J101" s="3">
        <v>1</v>
      </c>
      <c r="K101" s="3">
        <v>0</v>
      </c>
      <c r="L101" s="5">
        <v>10000</v>
      </c>
      <c r="M101" s="3" t="s">
        <v>141</v>
      </c>
      <c r="N101" s="3">
        <v>5</v>
      </c>
      <c r="O101" s="6" t="str">
        <f t="shared" si="2"/>
        <v/>
      </c>
      <c r="P101" s="5" t="str">
        <f t="shared" si="3"/>
        <v/>
      </c>
    </row>
    <row r="102" spans="1:16" x14ac:dyDescent="0.35">
      <c r="A102" s="3" t="s">
        <v>217</v>
      </c>
      <c r="B102" s="3" t="s">
        <v>23</v>
      </c>
      <c r="C102" s="3" t="s">
        <v>98</v>
      </c>
      <c r="D102" s="4">
        <v>45856</v>
      </c>
      <c r="E102" s="4">
        <v>45929</v>
      </c>
      <c r="F102" s="3" t="s">
        <v>19</v>
      </c>
      <c r="G102" s="3" t="s">
        <v>30</v>
      </c>
      <c r="H102" s="3">
        <v>15</v>
      </c>
      <c r="I102" s="3">
        <v>3</v>
      </c>
      <c r="J102" s="3">
        <v>1</v>
      </c>
      <c r="K102" s="3">
        <v>1</v>
      </c>
      <c r="L102" s="5">
        <v>10918</v>
      </c>
      <c r="M102" s="3" t="s">
        <v>25</v>
      </c>
      <c r="N102" s="3">
        <v>4</v>
      </c>
      <c r="O102" s="6">
        <f t="shared" si="2"/>
        <v>73</v>
      </c>
      <c r="P102" s="5">
        <f t="shared" si="3"/>
        <v>10918</v>
      </c>
    </row>
    <row r="103" spans="1:16" x14ac:dyDescent="0.35">
      <c r="A103" s="3" t="s">
        <v>218</v>
      </c>
      <c r="B103" s="3" t="s">
        <v>82</v>
      </c>
      <c r="C103" s="3" t="s">
        <v>138</v>
      </c>
      <c r="D103" s="4">
        <v>44948</v>
      </c>
      <c r="E103" s="3"/>
      <c r="F103" s="3" t="s">
        <v>29</v>
      </c>
      <c r="G103" s="3" t="s">
        <v>75</v>
      </c>
      <c r="H103" s="3">
        <v>18</v>
      </c>
      <c r="I103" s="3">
        <v>6</v>
      </c>
      <c r="J103" s="3">
        <v>2</v>
      </c>
      <c r="K103" s="3">
        <v>1</v>
      </c>
      <c r="L103" s="5">
        <v>4426</v>
      </c>
      <c r="M103" s="3" t="s">
        <v>119</v>
      </c>
      <c r="N103" s="3">
        <v>4.8</v>
      </c>
      <c r="O103" s="6" t="str">
        <f t="shared" si="2"/>
        <v/>
      </c>
      <c r="P103" s="5">
        <f t="shared" si="3"/>
        <v>4426</v>
      </c>
    </row>
    <row r="104" spans="1:16" x14ac:dyDescent="0.35">
      <c r="A104" s="3" t="s">
        <v>219</v>
      </c>
      <c r="B104" s="3" t="s">
        <v>33</v>
      </c>
      <c r="C104" s="3" t="s">
        <v>93</v>
      </c>
      <c r="D104" s="4">
        <v>44507</v>
      </c>
      <c r="E104" s="4">
        <v>44531</v>
      </c>
      <c r="F104" s="3" t="s">
        <v>19</v>
      </c>
      <c r="G104" s="3" t="s">
        <v>39</v>
      </c>
      <c r="H104" s="3">
        <v>21</v>
      </c>
      <c r="I104" s="3">
        <v>3</v>
      </c>
      <c r="J104" s="3">
        <v>1</v>
      </c>
      <c r="K104" s="3">
        <v>1</v>
      </c>
      <c r="L104" s="5">
        <v>1441</v>
      </c>
      <c r="M104" s="3" t="s">
        <v>96</v>
      </c>
      <c r="N104" s="3">
        <v>3.9</v>
      </c>
      <c r="O104" s="6">
        <f t="shared" si="2"/>
        <v>24</v>
      </c>
      <c r="P104" s="5">
        <f t="shared" si="3"/>
        <v>1441</v>
      </c>
    </row>
    <row r="105" spans="1:16" x14ac:dyDescent="0.35">
      <c r="A105" s="3" t="s">
        <v>220</v>
      </c>
      <c r="B105" s="3" t="s">
        <v>33</v>
      </c>
      <c r="C105" s="3" t="s">
        <v>62</v>
      </c>
      <c r="D105" s="4">
        <v>44662</v>
      </c>
      <c r="E105" s="3"/>
      <c r="F105" s="3" t="s">
        <v>29</v>
      </c>
      <c r="G105" s="3" t="s">
        <v>20</v>
      </c>
      <c r="H105" s="3">
        <v>105</v>
      </c>
      <c r="I105" s="3">
        <v>5</v>
      </c>
      <c r="J105" s="3">
        <v>1</v>
      </c>
      <c r="K105" s="3">
        <v>1</v>
      </c>
      <c r="L105" s="5">
        <v>2129</v>
      </c>
      <c r="M105" s="3" t="s">
        <v>36</v>
      </c>
      <c r="N105" s="3">
        <v>3.9</v>
      </c>
      <c r="O105" s="6" t="str">
        <f t="shared" si="2"/>
        <v/>
      </c>
      <c r="P105" s="5">
        <f t="shared" si="3"/>
        <v>2129</v>
      </c>
    </row>
    <row r="106" spans="1:16" x14ac:dyDescent="0.35">
      <c r="A106" s="3" t="s">
        <v>221</v>
      </c>
      <c r="B106" s="3" t="s">
        <v>82</v>
      </c>
      <c r="C106" s="3" t="s">
        <v>83</v>
      </c>
      <c r="D106" s="4">
        <v>44390</v>
      </c>
      <c r="E106" s="3"/>
      <c r="F106" s="3" t="s">
        <v>29</v>
      </c>
      <c r="G106" s="3" t="s">
        <v>30</v>
      </c>
      <c r="H106" s="3">
        <v>119</v>
      </c>
      <c r="I106" s="3">
        <v>3</v>
      </c>
      <c r="J106" s="3">
        <v>0</v>
      </c>
      <c r="K106" s="3">
        <v>0</v>
      </c>
      <c r="L106" s="5">
        <v>12325</v>
      </c>
      <c r="M106" s="3" t="s">
        <v>84</v>
      </c>
      <c r="N106" s="3">
        <v>3.7</v>
      </c>
      <c r="O106" s="6" t="str">
        <f t="shared" si="2"/>
        <v/>
      </c>
      <c r="P106" s="5" t="str">
        <f t="shared" si="3"/>
        <v/>
      </c>
    </row>
    <row r="107" spans="1:16" x14ac:dyDescent="0.35">
      <c r="A107" s="3" t="s">
        <v>222</v>
      </c>
      <c r="B107" s="3" t="s">
        <v>42</v>
      </c>
      <c r="C107" s="3" t="s">
        <v>43</v>
      </c>
      <c r="D107" s="4">
        <v>45033</v>
      </c>
      <c r="E107" s="4">
        <v>45067</v>
      </c>
      <c r="F107" s="3" t="s">
        <v>19</v>
      </c>
      <c r="G107" s="3" t="s">
        <v>30</v>
      </c>
      <c r="H107" s="3">
        <v>98</v>
      </c>
      <c r="I107" s="3">
        <v>15</v>
      </c>
      <c r="J107" s="3">
        <v>1</v>
      </c>
      <c r="K107" s="3">
        <v>1</v>
      </c>
      <c r="L107" s="5">
        <v>7823</v>
      </c>
      <c r="M107" s="3" t="s">
        <v>88</v>
      </c>
      <c r="N107" s="3">
        <v>2.7</v>
      </c>
      <c r="O107" s="6">
        <f t="shared" si="2"/>
        <v>34</v>
      </c>
      <c r="P107" s="5">
        <f t="shared" si="3"/>
        <v>7823</v>
      </c>
    </row>
    <row r="108" spans="1:16" x14ac:dyDescent="0.35">
      <c r="A108" s="3" t="s">
        <v>223</v>
      </c>
      <c r="B108" s="3" t="s">
        <v>65</v>
      </c>
      <c r="C108" s="3" t="s">
        <v>197</v>
      </c>
      <c r="D108" s="4">
        <v>45580</v>
      </c>
      <c r="E108" s="3"/>
      <c r="F108" s="3" t="s">
        <v>29</v>
      </c>
      <c r="G108" s="3" t="s">
        <v>30</v>
      </c>
      <c r="H108" s="3">
        <v>13</v>
      </c>
      <c r="I108" s="3">
        <v>6</v>
      </c>
      <c r="J108" s="3">
        <v>1</v>
      </c>
      <c r="K108" s="3">
        <v>0</v>
      </c>
      <c r="L108" s="5">
        <v>8991</v>
      </c>
      <c r="M108" s="3" t="s">
        <v>108</v>
      </c>
      <c r="N108" s="3">
        <v>4.5999999999999996</v>
      </c>
      <c r="O108" s="6" t="str">
        <f t="shared" si="2"/>
        <v/>
      </c>
      <c r="P108" s="5" t="str">
        <f t="shared" si="3"/>
        <v/>
      </c>
    </row>
    <row r="109" spans="1:16" x14ac:dyDescent="0.35">
      <c r="A109" s="3" t="s">
        <v>224</v>
      </c>
      <c r="B109" s="3" t="s">
        <v>58</v>
      </c>
      <c r="C109" s="3" t="s">
        <v>74</v>
      </c>
      <c r="D109" s="4">
        <v>45985</v>
      </c>
      <c r="E109" s="3"/>
      <c r="F109" s="3" t="s">
        <v>29</v>
      </c>
      <c r="G109" s="3" t="s">
        <v>35</v>
      </c>
      <c r="H109" s="3">
        <v>26</v>
      </c>
      <c r="I109" s="3">
        <v>16</v>
      </c>
      <c r="J109" s="3">
        <v>2</v>
      </c>
      <c r="K109" s="3">
        <v>0</v>
      </c>
      <c r="L109" s="5">
        <v>662</v>
      </c>
      <c r="M109" s="3" t="s">
        <v>186</v>
      </c>
      <c r="N109" s="3">
        <v>4.9000000000000004</v>
      </c>
      <c r="O109" s="6" t="str">
        <f t="shared" si="2"/>
        <v/>
      </c>
      <c r="P109" s="5" t="str">
        <f t="shared" si="3"/>
        <v/>
      </c>
    </row>
    <row r="110" spans="1:16" x14ac:dyDescent="0.35">
      <c r="A110" s="3" t="s">
        <v>225</v>
      </c>
      <c r="B110" s="3" t="s">
        <v>52</v>
      </c>
      <c r="C110" s="3" t="s">
        <v>131</v>
      </c>
      <c r="D110" s="4">
        <v>43932</v>
      </c>
      <c r="E110" s="4">
        <v>43965</v>
      </c>
      <c r="F110" s="3" t="s">
        <v>19</v>
      </c>
      <c r="G110" s="3" t="s">
        <v>30</v>
      </c>
      <c r="H110" s="3">
        <v>14</v>
      </c>
      <c r="I110" s="3">
        <v>11</v>
      </c>
      <c r="J110" s="3">
        <v>1</v>
      </c>
      <c r="K110" s="3">
        <v>1</v>
      </c>
      <c r="L110" s="5">
        <v>9504</v>
      </c>
      <c r="M110" s="3" t="s">
        <v>54</v>
      </c>
      <c r="N110" s="3">
        <v>3</v>
      </c>
      <c r="O110" s="6">
        <f t="shared" si="2"/>
        <v>33</v>
      </c>
      <c r="P110" s="5">
        <f t="shared" si="3"/>
        <v>9504</v>
      </c>
    </row>
    <row r="111" spans="1:16" x14ac:dyDescent="0.35">
      <c r="A111" s="3" t="s">
        <v>226</v>
      </c>
      <c r="B111" s="3" t="s">
        <v>48</v>
      </c>
      <c r="C111" s="3" t="s">
        <v>105</v>
      </c>
      <c r="D111" s="4">
        <v>45968</v>
      </c>
      <c r="E111" s="4">
        <v>46022</v>
      </c>
      <c r="F111" s="3" t="s">
        <v>19</v>
      </c>
      <c r="G111" s="3" t="s">
        <v>20</v>
      </c>
      <c r="H111" s="3">
        <v>50</v>
      </c>
      <c r="I111" s="3">
        <v>3</v>
      </c>
      <c r="J111" s="3">
        <v>1</v>
      </c>
      <c r="K111" s="3">
        <v>1</v>
      </c>
      <c r="L111" s="5">
        <v>2638</v>
      </c>
      <c r="M111" s="3" t="s">
        <v>56</v>
      </c>
      <c r="N111" s="3">
        <v>4.0999999999999996</v>
      </c>
      <c r="O111" s="6">
        <f t="shared" si="2"/>
        <v>54</v>
      </c>
      <c r="P111" s="5">
        <f t="shared" si="3"/>
        <v>2638</v>
      </c>
    </row>
    <row r="112" spans="1:16" x14ac:dyDescent="0.35">
      <c r="A112" s="3" t="s">
        <v>227</v>
      </c>
      <c r="B112" s="3" t="s">
        <v>65</v>
      </c>
      <c r="C112" s="3" t="s">
        <v>126</v>
      </c>
      <c r="D112" s="4">
        <v>45146</v>
      </c>
      <c r="E112" s="4">
        <v>45216</v>
      </c>
      <c r="F112" s="3" t="s">
        <v>19</v>
      </c>
      <c r="G112" s="3" t="s">
        <v>75</v>
      </c>
      <c r="H112" s="3">
        <v>99</v>
      </c>
      <c r="I112" s="3">
        <v>13</v>
      </c>
      <c r="J112" s="3">
        <v>1</v>
      </c>
      <c r="K112" s="3">
        <v>1</v>
      </c>
      <c r="L112" s="5">
        <v>5035</v>
      </c>
      <c r="M112" s="3" t="s">
        <v>128</v>
      </c>
      <c r="N112" s="3">
        <v>3.4</v>
      </c>
      <c r="O112" s="6">
        <f t="shared" si="2"/>
        <v>70</v>
      </c>
      <c r="P112" s="5">
        <f t="shared" si="3"/>
        <v>5035</v>
      </c>
    </row>
    <row r="113" spans="1:16" x14ac:dyDescent="0.35">
      <c r="A113" s="3" t="s">
        <v>228</v>
      </c>
      <c r="B113" s="3" t="s">
        <v>27</v>
      </c>
      <c r="C113" s="3" t="s">
        <v>38</v>
      </c>
      <c r="D113" s="4">
        <v>45248</v>
      </c>
      <c r="E113" s="4">
        <v>45313</v>
      </c>
      <c r="F113" s="3" t="s">
        <v>19</v>
      </c>
      <c r="G113" s="3" t="s">
        <v>75</v>
      </c>
      <c r="H113" s="3">
        <v>58</v>
      </c>
      <c r="I113" s="3">
        <v>20</v>
      </c>
      <c r="J113" s="3">
        <v>1</v>
      </c>
      <c r="K113" s="3">
        <v>1</v>
      </c>
      <c r="L113" s="5">
        <v>4966</v>
      </c>
      <c r="M113" s="3" t="s">
        <v>31</v>
      </c>
      <c r="N113" s="3">
        <v>4.5999999999999996</v>
      </c>
      <c r="O113" s="6">
        <f t="shared" si="2"/>
        <v>65</v>
      </c>
      <c r="P113" s="5">
        <f t="shared" si="3"/>
        <v>4966</v>
      </c>
    </row>
    <row r="114" spans="1:16" x14ac:dyDescent="0.35">
      <c r="A114" s="3" t="s">
        <v>229</v>
      </c>
      <c r="B114" s="3" t="s">
        <v>42</v>
      </c>
      <c r="C114" s="3" t="s">
        <v>43</v>
      </c>
      <c r="D114" s="4">
        <v>46125</v>
      </c>
      <c r="E114" s="4">
        <v>46186</v>
      </c>
      <c r="F114" s="3" t="s">
        <v>19</v>
      </c>
      <c r="G114" s="3" t="s">
        <v>35</v>
      </c>
      <c r="H114" s="3">
        <v>38</v>
      </c>
      <c r="I114" s="3">
        <v>5</v>
      </c>
      <c r="J114" s="3">
        <v>1</v>
      </c>
      <c r="K114" s="3">
        <v>1</v>
      </c>
      <c r="L114" s="5">
        <v>713</v>
      </c>
      <c r="M114" s="3" t="s">
        <v>44</v>
      </c>
      <c r="N114" s="3">
        <v>3.6</v>
      </c>
      <c r="O114" s="6">
        <f t="shared" si="2"/>
        <v>61</v>
      </c>
      <c r="P114" s="5">
        <f t="shared" si="3"/>
        <v>713</v>
      </c>
    </row>
    <row r="115" spans="1:16" x14ac:dyDescent="0.35">
      <c r="A115" s="3" t="s">
        <v>230</v>
      </c>
      <c r="B115" s="3" t="s">
        <v>27</v>
      </c>
      <c r="C115" s="3" t="s">
        <v>28</v>
      </c>
      <c r="D115" s="4">
        <v>44719</v>
      </c>
      <c r="E115" s="4">
        <v>44763</v>
      </c>
      <c r="F115" s="3" t="s">
        <v>19</v>
      </c>
      <c r="G115" s="3" t="s">
        <v>39</v>
      </c>
      <c r="H115" s="3">
        <v>103</v>
      </c>
      <c r="I115" s="3">
        <v>12</v>
      </c>
      <c r="J115" s="3">
        <v>1</v>
      </c>
      <c r="K115" s="3">
        <v>1</v>
      </c>
      <c r="L115" s="5">
        <v>1820</v>
      </c>
      <c r="M115" s="3" t="s">
        <v>154</v>
      </c>
      <c r="N115" s="3">
        <v>4.3</v>
      </c>
      <c r="O115" s="6">
        <f t="shared" si="2"/>
        <v>44</v>
      </c>
      <c r="P115" s="5">
        <f t="shared" si="3"/>
        <v>1820</v>
      </c>
    </row>
    <row r="116" spans="1:16" x14ac:dyDescent="0.35">
      <c r="A116" s="3" t="s">
        <v>231</v>
      </c>
      <c r="B116" s="3" t="s">
        <v>52</v>
      </c>
      <c r="C116" s="3" t="s">
        <v>80</v>
      </c>
      <c r="D116" s="4">
        <v>45315</v>
      </c>
      <c r="E116" s="4">
        <v>45344</v>
      </c>
      <c r="F116" s="3" t="s">
        <v>19</v>
      </c>
      <c r="G116" s="3" t="s">
        <v>30</v>
      </c>
      <c r="H116" s="3">
        <v>58</v>
      </c>
      <c r="I116" s="3">
        <v>17</v>
      </c>
      <c r="J116" s="3">
        <v>1</v>
      </c>
      <c r="K116" s="3">
        <v>1</v>
      </c>
      <c r="L116" s="5">
        <v>12038</v>
      </c>
      <c r="M116" s="3" t="s">
        <v>136</v>
      </c>
      <c r="N116" s="3">
        <v>3</v>
      </c>
      <c r="O116" s="6">
        <f t="shared" si="2"/>
        <v>29</v>
      </c>
      <c r="P116" s="5">
        <f t="shared" si="3"/>
        <v>12038</v>
      </c>
    </row>
    <row r="117" spans="1:16" x14ac:dyDescent="0.35">
      <c r="A117" s="3" t="s">
        <v>232</v>
      </c>
      <c r="B117" s="3" t="s">
        <v>48</v>
      </c>
      <c r="C117" s="3" t="s">
        <v>233</v>
      </c>
      <c r="D117" s="4">
        <v>45951</v>
      </c>
      <c r="E117" s="4">
        <v>46012</v>
      </c>
      <c r="F117" s="3" t="s">
        <v>19</v>
      </c>
      <c r="G117" s="3" t="s">
        <v>75</v>
      </c>
      <c r="H117" s="3">
        <v>11</v>
      </c>
      <c r="I117" s="3">
        <v>3</v>
      </c>
      <c r="J117" s="3">
        <v>1</v>
      </c>
      <c r="K117" s="3">
        <v>1</v>
      </c>
      <c r="L117" s="5">
        <v>3879</v>
      </c>
      <c r="M117" s="3" t="s">
        <v>56</v>
      </c>
      <c r="N117" s="3">
        <v>2.6</v>
      </c>
      <c r="O117" s="6">
        <f t="shared" si="2"/>
        <v>61</v>
      </c>
      <c r="P117" s="5">
        <f t="shared" si="3"/>
        <v>3879</v>
      </c>
    </row>
    <row r="118" spans="1:16" x14ac:dyDescent="0.35">
      <c r="A118" s="3" t="s">
        <v>234</v>
      </c>
      <c r="B118" s="3" t="s">
        <v>58</v>
      </c>
      <c r="C118" s="3" t="s">
        <v>59</v>
      </c>
      <c r="D118" s="4">
        <v>44417</v>
      </c>
      <c r="E118" s="4">
        <v>44453</v>
      </c>
      <c r="F118" s="3" t="s">
        <v>19</v>
      </c>
      <c r="G118" s="3" t="s">
        <v>35</v>
      </c>
      <c r="H118" s="3">
        <v>41</v>
      </c>
      <c r="I118" s="3">
        <v>18</v>
      </c>
      <c r="J118" s="3">
        <v>1</v>
      </c>
      <c r="K118" s="3">
        <v>1</v>
      </c>
      <c r="L118" s="5">
        <v>926</v>
      </c>
      <c r="M118" s="3" t="s">
        <v>157</v>
      </c>
      <c r="N118" s="3">
        <v>3.8</v>
      </c>
      <c r="O118" s="6">
        <f t="shared" si="2"/>
        <v>36</v>
      </c>
      <c r="P118" s="5">
        <f t="shared" si="3"/>
        <v>926</v>
      </c>
    </row>
    <row r="119" spans="1:16" x14ac:dyDescent="0.35">
      <c r="A119" s="3" t="s">
        <v>235</v>
      </c>
      <c r="B119" s="3" t="s">
        <v>42</v>
      </c>
      <c r="C119" s="3" t="s">
        <v>188</v>
      </c>
      <c r="D119" s="4">
        <v>44316</v>
      </c>
      <c r="E119" s="4">
        <v>44373</v>
      </c>
      <c r="F119" s="3" t="s">
        <v>19</v>
      </c>
      <c r="G119" s="3" t="s">
        <v>30</v>
      </c>
      <c r="H119" s="3">
        <v>29</v>
      </c>
      <c r="I119" s="3">
        <v>16</v>
      </c>
      <c r="J119" s="3">
        <v>1</v>
      </c>
      <c r="K119" s="3">
        <v>1</v>
      </c>
      <c r="L119" s="5">
        <v>10400</v>
      </c>
      <c r="M119" s="3" t="s">
        <v>167</v>
      </c>
      <c r="N119" s="3">
        <v>2.6</v>
      </c>
      <c r="O119" s="6">
        <f t="shared" si="2"/>
        <v>57</v>
      </c>
      <c r="P119" s="5">
        <f t="shared" si="3"/>
        <v>10400</v>
      </c>
    </row>
    <row r="120" spans="1:16" x14ac:dyDescent="0.35">
      <c r="A120" s="3" t="s">
        <v>236</v>
      </c>
      <c r="B120" s="3" t="s">
        <v>27</v>
      </c>
      <c r="C120" s="3" t="s">
        <v>28</v>
      </c>
      <c r="D120" s="4">
        <v>44945</v>
      </c>
      <c r="E120" s="4">
        <v>44979</v>
      </c>
      <c r="F120" s="3" t="s">
        <v>19</v>
      </c>
      <c r="G120" s="3" t="s">
        <v>30</v>
      </c>
      <c r="H120" s="3">
        <v>44</v>
      </c>
      <c r="I120" s="3">
        <v>20</v>
      </c>
      <c r="J120" s="3">
        <v>2</v>
      </c>
      <c r="K120" s="3">
        <v>1</v>
      </c>
      <c r="L120" s="5">
        <v>10691</v>
      </c>
      <c r="M120" s="3" t="s">
        <v>141</v>
      </c>
      <c r="N120" s="3">
        <v>3.5</v>
      </c>
      <c r="O120" s="6">
        <f t="shared" si="2"/>
        <v>34</v>
      </c>
      <c r="P120" s="5">
        <f t="shared" si="3"/>
        <v>10691</v>
      </c>
    </row>
    <row r="121" spans="1:16" x14ac:dyDescent="0.35">
      <c r="A121" s="3" t="s">
        <v>237</v>
      </c>
      <c r="B121" s="3" t="s">
        <v>52</v>
      </c>
      <c r="C121" s="3" t="s">
        <v>131</v>
      </c>
      <c r="D121" s="4">
        <v>45448</v>
      </c>
      <c r="E121" s="4">
        <v>45520</v>
      </c>
      <c r="F121" s="3" t="s">
        <v>19</v>
      </c>
      <c r="G121" s="3" t="s">
        <v>39</v>
      </c>
      <c r="H121" s="3">
        <v>120</v>
      </c>
      <c r="I121" s="3">
        <v>14</v>
      </c>
      <c r="J121" s="3">
        <v>1</v>
      </c>
      <c r="K121" s="3">
        <v>1</v>
      </c>
      <c r="L121" s="5">
        <v>1304</v>
      </c>
      <c r="M121" s="3" t="s">
        <v>116</v>
      </c>
      <c r="N121" s="3">
        <v>4.5999999999999996</v>
      </c>
      <c r="O121" s="6">
        <f t="shared" si="2"/>
        <v>72</v>
      </c>
      <c r="P121" s="5">
        <f t="shared" si="3"/>
        <v>1304</v>
      </c>
    </row>
    <row r="122" spans="1:16" x14ac:dyDescent="0.35">
      <c r="A122" s="3" t="s">
        <v>238</v>
      </c>
      <c r="B122" s="3" t="s">
        <v>65</v>
      </c>
      <c r="C122" s="3" t="s">
        <v>110</v>
      </c>
      <c r="D122" s="4">
        <v>44276</v>
      </c>
      <c r="E122" s="4">
        <v>44297</v>
      </c>
      <c r="F122" s="3" t="s">
        <v>19</v>
      </c>
      <c r="G122" s="3" t="s">
        <v>75</v>
      </c>
      <c r="H122" s="3">
        <v>64</v>
      </c>
      <c r="I122" s="3">
        <v>8</v>
      </c>
      <c r="J122" s="3">
        <v>1</v>
      </c>
      <c r="K122" s="3">
        <v>1</v>
      </c>
      <c r="L122" s="5">
        <v>5537</v>
      </c>
      <c r="M122" s="3" t="s">
        <v>111</v>
      </c>
      <c r="N122" s="3">
        <v>3.7</v>
      </c>
      <c r="O122" s="6">
        <f t="shared" si="2"/>
        <v>21</v>
      </c>
      <c r="P122" s="5">
        <f t="shared" si="3"/>
        <v>5537</v>
      </c>
    </row>
    <row r="123" spans="1:16" x14ac:dyDescent="0.35">
      <c r="A123" s="3" t="s">
        <v>239</v>
      </c>
      <c r="B123" s="3" t="s">
        <v>58</v>
      </c>
      <c r="C123" s="3" t="s">
        <v>209</v>
      </c>
      <c r="D123" s="4">
        <v>44216</v>
      </c>
      <c r="E123" s="4">
        <v>44257</v>
      </c>
      <c r="F123" s="3" t="s">
        <v>19</v>
      </c>
      <c r="G123" s="3" t="s">
        <v>75</v>
      </c>
      <c r="H123" s="3">
        <v>25</v>
      </c>
      <c r="I123" s="3">
        <v>5</v>
      </c>
      <c r="J123" s="3">
        <v>1</v>
      </c>
      <c r="K123" s="3">
        <v>1</v>
      </c>
      <c r="L123" s="5">
        <v>4722</v>
      </c>
      <c r="M123" s="3" t="s">
        <v>76</v>
      </c>
      <c r="N123" s="3">
        <v>2.8</v>
      </c>
      <c r="O123" s="6">
        <f t="shared" si="2"/>
        <v>41</v>
      </c>
      <c r="P123" s="5">
        <f t="shared" si="3"/>
        <v>4722</v>
      </c>
    </row>
    <row r="124" spans="1:16" x14ac:dyDescent="0.35">
      <c r="A124" s="3" t="s">
        <v>240</v>
      </c>
      <c r="B124" s="3" t="s">
        <v>48</v>
      </c>
      <c r="C124" s="3" t="s">
        <v>134</v>
      </c>
      <c r="D124" s="4">
        <v>46084</v>
      </c>
      <c r="E124" s="4">
        <v>46134</v>
      </c>
      <c r="F124" s="3" t="s">
        <v>19</v>
      </c>
      <c r="G124" s="3" t="s">
        <v>20</v>
      </c>
      <c r="H124" s="3">
        <v>70</v>
      </c>
      <c r="I124" s="3">
        <v>16</v>
      </c>
      <c r="J124" s="3">
        <v>1</v>
      </c>
      <c r="K124" s="3">
        <v>1</v>
      </c>
      <c r="L124" s="5">
        <v>1932</v>
      </c>
      <c r="M124" s="3" t="s">
        <v>151</v>
      </c>
      <c r="N124" s="3">
        <v>3.5</v>
      </c>
      <c r="O124" s="6">
        <f t="shared" si="2"/>
        <v>50</v>
      </c>
      <c r="P124" s="5">
        <f t="shared" si="3"/>
        <v>1932</v>
      </c>
    </row>
    <row r="125" spans="1:16" x14ac:dyDescent="0.35">
      <c r="A125" s="3" t="s">
        <v>241</v>
      </c>
      <c r="B125" s="3" t="s">
        <v>17</v>
      </c>
      <c r="C125" s="3" t="s">
        <v>123</v>
      </c>
      <c r="D125" s="4">
        <v>44868</v>
      </c>
      <c r="E125" s="4">
        <v>44920</v>
      </c>
      <c r="F125" s="3" t="s">
        <v>19</v>
      </c>
      <c r="G125" s="3" t="s">
        <v>39</v>
      </c>
      <c r="H125" s="3">
        <v>32</v>
      </c>
      <c r="I125" s="3">
        <v>8</v>
      </c>
      <c r="J125" s="3">
        <v>1</v>
      </c>
      <c r="K125" s="3">
        <v>1</v>
      </c>
      <c r="L125" s="5">
        <v>1317</v>
      </c>
      <c r="M125" s="3" t="s">
        <v>143</v>
      </c>
      <c r="N125" s="3">
        <v>4.7</v>
      </c>
      <c r="O125" s="6">
        <f t="shared" si="2"/>
        <v>52</v>
      </c>
      <c r="P125" s="5">
        <f t="shared" si="3"/>
        <v>1317</v>
      </c>
    </row>
    <row r="126" spans="1:16" x14ac:dyDescent="0.35">
      <c r="A126" s="3" t="s">
        <v>242</v>
      </c>
      <c r="B126" s="3" t="s">
        <v>27</v>
      </c>
      <c r="C126" s="3" t="s">
        <v>38</v>
      </c>
      <c r="D126" s="4">
        <v>46220</v>
      </c>
      <c r="E126" s="3"/>
      <c r="F126" s="3" t="s">
        <v>29</v>
      </c>
      <c r="G126" s="3" t="s">
        <v>35</v>
      </c>
      <c r="H126" s="3">
        <v>15</v>
      </c>
      <c r="I126" s="3">
        <v>9</v>
      </c>
      <c r="J126" s="3">
        <v>1</v>
      </c>
      <c r="K126" s="3">
        <v>0</v>
      </c>
      <c r="L126" s="5">
        <v>926</v>
      </c>
      <c r="M126" s="3" t="s">
        <v>154</v>
      </c>
      <c r="N126" s="3">
        <v>3.2</v>
      </c>
      <c r="O126" s="6" t="str">
        <f t="shared" si="2"/>
        <v/>
      </c>
      <c r="P126" s="5" t="str">
        <f t="shared" si="3"/>
        <v/>
      </c>
    </row>
    <row r="127" spans="1:16" x14ac:dyDescent="0.35">
      <c r="A127" s="3" t="s">
        <v>243</v>
      </c>
      <c r="B127" s="3" t="s">
        <v>42</v>
      </c>
      <c r="C127" s="3" t="s">
        <v>87</v>
      </c>
      <c r="D127" s="4">
        <v>46134</v>
      </c>
      <c r="E127" s="4">
        <v>46199</v>
      </c>
      <c r="F127" s="3" t="s">
        <v>19</v>
      </c>
      <c r="G127" s="3" t="s">
        <v>39</v>
      </c>
      <c r="H127" s="3">
        <v>49</v>
      </c>
      <c r="I127" s="3">
        <v>5</v>
      </c>
      <c r="J127" s="3">
        <v>1</v>
      </c>
      <c r="K127" s="3">
        <v>1</v>
      </c>
      <c r="L127" s="5">
        <v>1527</v>
      </c>
      <c r="M127" s="3" t="s">
        <v>178</v>
      </c>
      <c r="N127" s="3">
        <v>3.2</v>
      </c>
      <c r="O127" s="6">
        <f t="shared" si="2"/>
        <v>65</v>
      </c>
      <c r="P127" s="5">
        <f t="shared" si="3"/>
        <v>1527</v>
      </c>
    </row>
    <row r="128" spans="1:16" x14ac:dyDescent="0.35">
      <c r="A128" s="3" t="s">
        <v>244</v>
      </c>
      <c r="B128" s="3" t="s">
        <v>65</v>
      </c>
      <c r="C128" s="3" t="s">
        <v>66</v>
      </c>
      <c r="D128" s="4">
        <v>46094</v>
      </c>
      <c r="E128" s="4">
        <v>46121</v>
      </c>
      <c r="F128" s="3" t="s">
        <v>19</v>
      </c>
      <c r="G128" s="3" t="s">
        <v>20</v>
      </c>
      <c r="H128" s="3">
        <v>50</v>
      </c>
      <c r="I128" s="3">
        <v>5</v>
      </c>
      <c r="J128" s="3">
        <v>1</v>
      </c>
      <c r="K128" s="3">
        <v>1</v>
      </c>
      <c r="L128" s="5">
        <v>2688</v>
      </c>
      <c r="M128" s="3" t="s">
        <v>108</v>
      </c>
      <c r="N128" s="3">
        <v>2.9</v>
      </c>
      <c r="O128" s="6">
        <f t="shared" si="2"/>
        <v>27</v>
      </c>
      <c r="P128" s="5">
        <f t="shared" si="3"/>
        <v>2688</v>
      </c>
    </row>
    <row r="129" spans="1:16" x14ac:dyDescent="0.35">
      <c r="A129" s="3" t="s">
        <v>245</v>
      </c>
      <c r="B129" s="3" t="s">
        <v>52</v>
      </c>
      <c r="C129" s="3" t="s">
        <v>53</v>
      </c>
      <c r="D129" s="4">
        <v>46201</v>
      </c>
      <c r="E129" s="4">
        <v>46265</v>
      </c>
      <c r="F129" s="3" t="s">
        <v>19</v>
      </c>
      <c r="G129" s="3" t="s">
        <v>39</v>
      </c>
      <c r="H129" s="3">
        <v>21</v>
      </c>
      <c r="I129" s="3">
        <v>5</v>
      </c>
      <c r="J129" s="3">
        <v>1</v>
      </c>
      <c r="K129" s="3">
        <v>1</v>
      </c>
      <c r="L129" s="5">
        <v>1388</v>
      </c>
      <c r="M129" s="3" t="s">
        <v>132</v>
      </c>
      <c r="N129" s="3">
        <v>2.9</v>
      </c>
      <c r="O129" s="6">
        <f t="shared" si="2"/>
        <v>64</v>
      </c>
      <c r="P129" s="5">
        <f t="shared" si="3"/>
        <v>1388</v>
      </c>
    </row>
    <row r="130" spans="1:16" x14ac:dyDescent="0.35">
      <c r="A130" s="3" t="s">
        <v>246</v>
      </c>
      <c r="B130" s="3" t="s">
        <v>23</v>
      </c>
      <c r="C130" s="3" t="s">
        <v>113</v>
      </c>
      <c r="D130" s="4">
        <v>45905</v>
      </c>
      <c r="E130" s="4">
        <v>45969</v>
      </c>
      <c r="F130" s="3" t="s">
        <v>19</v>
      </c>
      <c r="G130" s="3" t="s">
        <v>20</v>
      </c>
      <c r="H130" s="3">
        <v>77</v>
      </c>
      <c r="I130" s="3">
        <v>8</v>
      </c>
      <c r="J130" s="3">
        <v>1</v>
      </c>
      <c r="K130" s="3">
        <v>1</v>
      </c>
      <c r="L130" s="5">
        <v>2549</v>
      </c>
      <c r="M130" s="3" t="s">
        <v>247</v>
      </c>
      <c r="N130" s="3">
        <v>4.0999999999999996</v>
      </c>
      <c r="O130" s="6">
        <f t="shared" ref="O130:O161" si="4">IF(F130="Filled",E130-D130,"")</f>
        <v>64</v>
      </c>
      <c r="P130" s="5">
        <f t="shared" ref="P130:P161" si="5">IF(K130&gt;0,L130/K130,"")</f>
        <v>2549</v>
      </c>
    </row>
    <row r="131" spans="1:16" x14ac:dyDescent="0.35">
      <c r="A131" s="3" t="s">
        <v>248</v>
      </c>
      <c r="B131" s="3" t="s">
        <v>42</v>
      </c>
      <c r="C131" s="3" t="s">
        <v>188</v>
      </c>
      <c r="D131" s="4">
        <v>45053</v>
      </c>
      <c r="E131" s="4">
        <v>45098</v>
      </c>
      <c r="F131" s="3" t="s">
        <v>19</v>
      </c>
      <c r="G131" s="3" t="s">
        <v>75</v>
      </c>
      <c r="H131" s="3">
        <v>58</v>
      </c>
      <c r="I131" s="3">
        <v>7</v>
      </c>
      <c r="J131" s="3">
        <v>2</v>
      </c>
      <c r="K131" s="3">
        <v>1</v>
      </c>
      <c r="L131" s="5">
        <v>4607</v>
      </c>
      <c r="M131" s="3" t="s">
        <v>44</v>
      </c>
      <c r="N131" s="3">
        <v>4.7</v>
      </c>
      <c r="O131" s="6">
        <f t="shared" si="4"/>
        <v>45</v>
      </c>
      <c r="P131" s="5">
        <f t="shared" si="5"/>
        <v>4607</v>
      </c>
    </row>
    <row r="132" spans="1:16" x14ac:dyDescent="0.35">
      <c r="A132" s="3" t="s">
        <v>249</v>
      </c>
      <c r="B132" s="3" t="s">
        <v>48</v>
      </c>
      <c r="C132" s="3" t="s">
        <v>134</v>
      </c>
      <c r="D132" s="4">
        <v>44682</v>
      </c>
      <c r="E132" s="3"/>
      <c r="F132" s="3" t="s">
        <v>29</v>
      </c>
      <c r="G132" s="3" t="s">
        <v>20</v>
      </c>
      <c r="H132" s="3">
        <v>76</v>
      </c>
      <c r="I132" s="3">
        <v>9</v>
      </c>
      <c r="J132" s="3">
        <v>0</v>
      </c>
      <c r="K132" s="3">
        <v>0</v>
      </c>
      <c r="L132" s="5">
        <v>1959</v>
      </c>
      <c r="M132" s="3" t="s">
        <v>250</v>
      </c>
      <c r="N132" s="3">
        <v>3</v>
      </c>
      <c r="O132" s="6" t="str">
        <f t="shared" si="4"/>
        <v/>
      </c>
      <c r="P132" s="5" t="str">
        <f t="shared" si="5"/>
        <v/>
      </c>
    </row>
    <row r="133" spans="1:16" x14ac:dyDescent="0.35">
      <c r="A133" s="3" t="s">
        <v>251</v>
      </c>
      <c r="B133" s="3" t="s">
        <v>48</v>
      </c>
      <c r="C133" s="3" t="s">
        <v>49</v>
      </c>
      <c r="D133" s="4">
        <v>44079</v>
      </c>
      <c r="E133" s="3"/>
      <c r="F133" s="3" t="s">
        <v>124</v>
      </c>
      <c r="G133" s="3" t="s">
        <v>35</v>
      </c>
      <c r="H133" s="3">
        <v>57</v>
      </c>
      <c r="I133" s="3">
        <v>15</v>
      </c>
      <c r="J133" s="3">
        <v>2</v>
      </c>
      <c r="K133" s="3">
        <v>0</v>
      </c>
      <c r="L133" s="5">
        <v>1028</v>
      </c>
      <c r="M133" s="3" t="s">
        <v>50</v>
      </c>
      <c r="N133" s="3">
        <v>3.7</v>
      </c>
      <c r="O133" s="6" t="str">
        <f t="shared" si="4"/>
        <v/>
      </c>
      <c r="P133" s="5" t="str">
        <f t="shared" si="5"/>
        <v/>
      </c>
    </row>
    <row r="134" spans="1:16" x14ac:dyDescent="0.35">
      <c r="A134" s="3" t="s">
        <v>252</v>
      </c>
      <c r="B134" s="3" t="s">
        <v>17</v>
      </c>
      <c r="C134" s="3" t="s">
        <v>18</v>
      </c>
      <c r="D134" s="4">
        <v>44359</v>
      </c>
      <c r="E134" s="4">
        <v>44396</v>
      </c>
      <c r="F134" s="3" t="s">
        <v>19</v>
      </c>
      <c r="G134" s="3" t="s">
        <v>39</v>
      </c>
      <c r="H134" s="3">
        <v>28</v>
      </c>
      <c r="I134" s="3">
        <v>18</v>
      </c>
      <c r="J134" s="3">
        <v>1</v>
      </c>
      <c r="K134" s="3">
        <v>1</v>
      </c>
      <c r="L134" s="5">
        <v>1686</v>
      </c>
      <c r="M134" s="3" t="s">
        <v>21</v>
      </c>
      <c r="N134" s="3">
        <v>2.6</v>
      </c>
      <c r="O134" s="6">
        <f t="shared" si="4"/>
        <v>37</v>
      </c>
      <c r="P134" s="5">
        <f t="shared" si="5"/>
        <v>1686</v>
      </c>
    </row>
    <row r="135" spans="1:16" x14ac:dyDescent="0.35">
      <c r="A135" s="3" t="s">
        <v>253</v>
      </c>
      <c r="B135" s="3" t="s">
        <v>23</v>
      </c>
      <c r="C135" s="3" t="s">
        <v>113</v>
      </c>
      <c r="D135" s="4">
        <v>46066</v>
      </c>
      <c r="E135" s="4">
        <v>46141</v>
      </c>
      <c r="F135" s="3" t="s">
        <v>19</v>
      </c>
      <c r="G135" s="3" t="s">
        <v>20</v>
      </c>
      <c r="H135" s="3">
        <v>117</v>
      </c>
      <c r="I135" s="3">
        <v>10</v>
      </c>
      <c r="J135" s="3">
        <v>2</v>
      </c>
      <c r="K135" s="3">
        <v>1</v>
      </c>
      <c r="L135" s="5">
        <v>2464</v>
      </c>
      <c r="M135" s="3" t="s">
        <v>25</v>
      </c>
      <c r="N135" s="3">
        <v>4.5999999999999996</v>
      </c>
      <c r="O135" s="6">
        <f t="shared" si="4"/>
        <v>75</v>
      </c>
      <c r="P135" s="5">
        <f t="shared" si="5"/>
        <v>2464</v>
      </c>
    </row>
    <row r="136" spans="1:16" x14ac:dyDescent="0.35">
      <c r="A136" s="3" t="s">
        <v>254</v>
      </c>
      <c r="B136" s="3" t="s">
        <v>17</v>
      </c>
      <c r="C136" s="3" t="s">
        <v>18</v>
      </c>
      <c r="D136" s="4">
        <v>46131</v>
      </c>
      <c r="E136" s="3"/>
      <c r="F136" s="3" t="s">
        <v>29</v>
      </c>
      <c r="G136" s="3" t="s">
        <v>75</v>
      </c>
      <c r="H136" s="3">
        <v>104</v>
      </c>
      <c r="I136" s="3">
        <v>7</v>
      </c>
      <c r="J136" s="3">
        <v>1</v>
      </c>
      <c r="K136" s="3">
        <v>0</v>
      </c>
      <c r="L136" s="5">
        <v>5530</v>
      </c>
      <c r="M136" s="3" t="s">
        <v>21</v>
      </c>
      <c r="N136" s="3">
        <v>4.9000000000000004</v>
      </c>
      <c r="O136" s="6" t="str">
        <f t="shared" si="4"/>
        <v/>
      </c>
      <c r="P136" s="5" t="str">
        <f t="shared" si="5"/>
        <v/>
      </c>
    </row>
    <row r="137" spans="1:16" x14ac:dyDescent="0.35">
      <c r="A137" s="3" t="s">
        <v>255</v>
      </c>
      <c r="B137" s="3" t="s">
        <v>65</v>
      </c>
      <c r="C137" s="3" t="s">
        <v>66</v>
      </c>
      <c r="D137" s="4">
        <v>45686</v>
      </c>
      <c r="E137" s="3"/>
      <c r="F137" s="3" t="s">
        <v>29</v>
      </c>
      <c r="G137" s="3" t="s">
        <v>35</v>
      </c>
      <c r="H137" s="3">
        <v>120</v>
      </c>
      <c r="I137" s="3">
        <v>14</v>
      </c>
      <c r="J137" s="3">
        <v>0</v>
      </c>
      <c r="K137" s="3">
        <v>0</v>
      </c>
      <c r="L137" s="5">
        <v>740</v>
      </c>
      <c r="M137" s="3" t="s">
        <v>256</v>
      </c>
      <c r="N137" s="3">
        <v>5</v>
      </c>
      <c r="O137" s="6" t="str">
        <f t="shared" si="4"/>
        <v/>
      </c>
      <c r="P137" s="5" t="str">
        <f t="shared" si="5"/>
        <v/>
      </c>
    </row>
    <row r="138" spans="1:16" x14ac:dyDescent="0.35">
      <c r="A138" s="3" t="s">
        <v>257</v>
      </c>
      <c r="B138" s="3" t="s">
        <v>82</v>
      </c>
      <c r="C138" s="3" t="s">
        <v>138</v>
      </c>
      <c r="D138" s="4">
        <v>44623</v>
      </c>
      <c r="E138" s="4">
        <v>44686</v>
      </c>
      <c r="F138" s="3" t="s">
        <v>19</v>
      </c>
      <c r="G138" s="3" t="s">
        <v>39</v>
      </c>
      <c r="H138" s="3">
        <v>91</v>
      </c>
      <c r="I138" s="3">
        <v>7</v>
      </c>
      <c r="J138" s="3">
        <v>1</v>
      </c>
      <c r="K138" s="3">
        <v>1</v>
      </c>
      <c r="L138" s="5">
        <v>1475</v>
      </c>
      <c r="M138" s="3" t="s">
        <v>184</v>
      </c>
      <c r="N138" s="3">
        <v>3.1</v>
      </c>
      <c r="O138" s="6">
        <f t="shared" si="4"/>
        <v>63</v>
      </c>
      <c r="P138" s="5">
        <f t="shared" si="5"/>
        <v>1475</v>
      </c>
    </row>
    <row r="139" spans="1:16" x14ac:dyDescent="0.35">
      <c r="A139" s="3" t="s">
        <v>258</v>
      </c>
      <c r="B139" s="3" t="s">
        <v>82</v>
      </c>
      <c r="C139" s="3" t="s">
        <v>201</v>
      </c>
      <c r="D139" s="4">
        <v>45537</v>
      </c>
      <c r="E139" s="4">
        <v>45578</v>
      </c>
      <c r="F139" s="3" t="s">
        <v>19</v>
      </c>
      <c r="G139" s="3" t="s">
        <v>75</v>
      </c>
      <c r="H139" s="3">
        <v>92</v>
      </c>
      <c r="I139" s="3">
        <v>17</v>
      </c>
      <c r="J139" s="3">
        <v>1</v>
      </c>
      <c r="K139" s="3">
        <v>1</v>
      </c>
      <c r="L139" s="5">
        <v>5434</v>
      </c>
      <c r="M139" s="3" t="s">
        <v>184</v>
      </c>
      <c r="N139" s="3">
        <v>2.9</v>
      </c>
      <c r="O139" s="6">
        <f t="shared" si="4"/>
        <v>41</v>
      </c>
      <c r="P139" s="5">
        <f t="shared" si="5"/>
        <v>5434</v>
      </c>
    </row>
    <row r="140" spans="1:16" x14ac:dyDescent="0.35">
      <c r="A140" s="3" t="s">
        <v>259</v>
      </c>
      <c r="B140" s="3" t="s">
        <v>58</v>
      </c>
      <c r="C140" s="3" t="s">
        <v>59</v>
      </c>
      <c r="D140" s="4">
        <v>45428</v>
      </c>
      <c r="E140" s="3"/>
      <c r="F140" s="3" t="s">
        <v>29</v>
      </c>
      <c r="G140" s="3" t="s">
        <v>75</v>
      </c>
      <c r="H140" s="3">
        <v>58</v>
      </c>
      <c r="I140" s="3">
        <v>8</v>
      </c>
      <c r="J140" s="3">
        <v>0</v>
      </c>
      <c r="K140" s="3">
        <v>0</v>
      </c>
      <c r="L140" s="5">
        <v>4511</v>
      </c>
      <c r="M140" s="3" t="s">
        <v>60</v>
      </c>
      <c r="N140" s="3">
        <v>4.9000000000000004</v>
      </c>
      <c r="O140" s="6" t="str">
        <f t="shared" si="4"/>
        <v/>
      </c>
      <c r="P140" s="5" t="str">
        <f t="shared" si="5"/>
        <v/>
      </c>
    </row>
    <row r="141" spans="1:16" x14ac:dyDescent="0.35">
      <c r="A141" s="3" t="s">
        <v>260</v>
      </c>
      <c r="B141" s="3" t="s">
        <v>52</v>
      </c>
      <c r="C141" s="3" t="s">
        <v>53</v>
      </c>
      <c r="D141" s="4">
        <v>45732</v>
      </c>
      <c r="E141" s="4">
        <v>45776</v>
      </c>
      <c r="F141" s="3" t="s">
        <v>19</v>
      </c>
      <c r="G141" s="3" t="s">
        <v>35</v>
      </c>
      <c r="H141" s="3">
        <v>81</v>
      </c>
      <c r="I141" s="3">
        <v>4</v>
      </c>
      <c r="J141" s="3">
        <v>2</v>
      </c>
      <c r="K141" s="3">
        <v>1</v>
      </c>
      <c r="L141" s="5">
        <v>676</v>
      </c>
      <c r="M141" s="3" t="s">
        <v>116</v>
      </c>
      <c r="N141" s="3">
        <v>3.6</v>
      </c>
      <c r="O141" s="6">
        <f t="shared" si="4"/>
        <v>44</v>
      </c>
      <c r="P141" s="5">
        <f t="shared" si="5"/>
        <v>676</v>
      </c>
    </row>
    <row r="142" spans="1:16" x14ac:dyDescent="0.35">
      <c r="A142" s="3" t="s">
        <v>261</v>
      </c>
      <c r="B142" s="3" t="s">
        <v>42</v>
      </c>
      <c r="C142" s="3" t="s">
        <v>188</v>
      </c>
      <c r="D142" s="4">
        <v>44471</v>
      </c>
      <c r="E142" s="3"/>
      <c r="F142" s="3" t="s">
        <v>29</v>
      </c>
      <c r="G142" s="3" t="s">
        <v>35</v>
      </c>
      <c r="H142" s="3">
        <v>76</v>
      </c>
      <c r="I142" s="3">
        <v>18</v>
      </c>
      <c r="J142" s="3">
        <v>0</v>
      </c>
      <c r="K142" s="3">
        <v>0</v>
      </c>
      <c r="L142" s="5">
        <v>811</v>
      </c>
      <c r="M142" s="3" t="s">
        <v>178</v>
      </c>
      <c r="N142" s="3">
        <v>4.9000000000000004</v>
      </c>
      <c r="O142" s="6" t="str">
        <f t="shared" si="4"/>
        <v/>
      </c>
      <c r="P142" s="5" t="str">
        <f t="shared" si="5"/>
        <v/>
      </c>
    </row>
    <row r="143" spans="1:16" x14ac:dyDescent="0.35">
      <c r="A143" s="3" t="s">
        <v>262</v>
      </c>
      <c r="B143" s="3" t="s">
        <v>48</v>
      </c>
      <c r="C143" s="3" t="s">
        <v>134</v>
      </c>
      <c r="D143" s="4">
        <v>44135</v>
      </c>
      <c r="E143" s="3"/>
      <c r="F143" s="3" t="s">
        <v>29</v>
      </c>
      <c r="G143" s="3" t="s">
        <v>35</v>
      </c>
      <c r="H143" s="3">
        <v>58</v>
      </c>
      <c r="I143" s="3">
        <v>17</v>
      </c>
      <c r="J143" s="3">
        <v>1</v>
      </c>
      <c r="K143" s="3">
        <v>1</v>
      </c>
      <c r="L143" s="5">
        <v>1037</v>
      </c>
      <c r="M143" s="3" t="s">
        <v>106</v>
      </c>
      <c r="N143" s="3">
        <v>2.9</v>
      </c>
      <c r="O143" s="6" t="str">
        <f t="shared" si="4"/>
        <v/>
      </c>
      <c r="P143" s="5">
        <f t="shared" si="5"/>
        <v>1037</v>
      </c>
    </row>
    <row r="144" spans="1:16" x14ac:dyDescent="0.35">
      <c r="A144" s="3" t="s">
        <v>263</v>
      </c>
      <c r="B144" s="3" t="s">
        <v>58</v>
      </c>
      <c r="C144" s="3" t="s">
        <v>264</v>
      </c>
      <c r="D144" s="4">
        <v>45224</v>
      </c>
      <c r="E144" s="4">
        <v>45245</v>
      </c>
      <c r="F144" s="3" t="s">
        <v>19</v>
      </c>
      <c r="G144" s="3" t="s">
        <v>30</v>
      </c>
      <c r="H144" s="3">
        <v>91</v>
      </c>
      <c r="I144" s="3">
        <v>17</v>
      </c>
      <c r="J144" s="3">
        <v>1</v>
      </c>
      <c r="K144" s="3">
        <v>1</v>
      </c>
      <c r="L144" s="5">
        <v>8900</v>
      </c>
      <c r="M144" s="3" t="s">
        <v>203</v>
      </c>
      <c r="N144" s="3">
        <v>4.8</v>
      </c>
      <c r="O144" s="6">
        <f t="shared" si="4"/>
        <v>21</v>
      </c>
      <c r="P144" s="5">
        <f t="shared" si="5"/>
        <v>8900</v>
      </c>
    </row>
    <row r="145" spans="1:16" x14ac:dyDescent="0.35">
      <c r="A145" s="3" t="s">
        <v>265</v>
      </c>
      <c r="B145" s="3" t="s">
        <v>82</v>
      </c>
      <c r="C145" s="3" t="s">
        <v>83</v>
      </c>
      <c r="D145" s="4">
        <v>45417</v>
      </c>
      <c r="E145" s="4">
        <v>45477</v>
      </c>
      <c r="F145" s="3" t="s">
        <v>19</v>
      </c>
      <c r="G145" s="3" t="s">
        <v>75</v>
      </c>
      <c r="H145" s="3">
        <v>70</v>
      </c>
      <c r="I145" s="3">
        <v>13</v>
      </c>
      <c r="J145" s="3">
        <v>2</v>
      </c>
      <c r="K145" s="3">
        <v>1</v>
      </c>
      <c r="L145" s="5">
        <v>5436</v>
      </c>
      <c r="M145" s="3" t="s">
        <v>84</v>
      </c>
      <c r="N145" s="3">
        <v>3.1</v>
      </c>
      <c r="O145" s="6">
        <f t="shared" si="4"/>
        <v>60</v>
      </c>
      <c r="P145" s="5">
        <f t="shared" si="5"/>
        <v>5436</v>
      </c>
    </row>
    <row r="146" spans="1:16" x14ac:dyDescent="0.35">
      <c r="A146" s="3" t="s">
        <v>266</v>
      </c>
      <c r="B146" s="3" t="s">
        <v>52</v>
      </c>
      <c r="C146" s="3" t="s">
        <v>131</v>
      </c>
      <c r="D146" s="4">
        <v>44811</v>
      </c>
      <c r="E146" s="3"/>
      <c r="F146" s="3" t="s">
        <v>29</v>
      </c>
      <c r="G146" s="3" t="s">
        <v>20</v>
      </c>
      <c r="H146" s="3">
        <v>21</v>
      </c>
      <c r="I146" s="3">
        <v>16</v>
      </c>
      <c r="J146" s="3">
        <v>1</v>
      </c>
      <c r="K146" s="3">
        <v>0</v>
      </c>
      <c r="L146" s="5">
        <v>2727</v>
      </c>
      <c r="M146" s="3" t="s">
        <v>116</v>
      </c>
      <c r="N146" s="3">
        <v>4.7</v>
      </c>
      <c r="O146" s="6" t="str">
        <f t="shared" si="4"/>
        <v/>
      </c>
      <c r="P146" s="5" t="str">
        <f t="shared" si="5"/>
        <v/>
      </c>
    </row>
    <row r="147" spans="1:16" x14ac:dyDescent="0.35">
      <c r="A147" s="3" t="s">
        <v>267</v>
      </c>
      <c r="B147" s="3" t="s">
        <v>42</v>
      </c>
      <c r="C147" s="3" t="s">
        <v>164</v>
      </c>
      <c r="D147" s="4">
        <v>44149</v>
      </c>
      <c r="E147" s="4">
        <v>44218</v>
      </c>
      <c r="F147" s="3" t="s">
        <v>19</v>
      </c>
      <c r="G147" s="3" t="s">
        <v>20</v>
      </c>
      <c r="H147" s="3">
        <v>113</v>
      </c>
      <c r="I147" s="3">
        <v>19</v>
      </c>
      <c r="J147" s="3">
        <v>1</v>
      </c>
      <c r="K147" s="3">
        <v>1</v>
      </c>
      <c r="L147" s="5">
        <v>2799</v>
      </c>
      <c r="M147" s="3" t="s">
        <v>167</v>
      </c>
      <c r="N147" s="3">
        <v>3.2</v>
      </c>
      <c r="O147" s="6">
        <f t="shared" si="4"/>
        <v>69</v>
      </c>
      <c r="P147" s="5">
        <f t="shared" si="5"/>
        <v>2799</v>
      </c>
    </row>
    <row r="148" spans="1:16" x14ac:dyDescent="0.35">
      <c r="A148" s="3" t="s">
        <v>268</v>
      </c>
      <c r="B148" s="3" t="s">
        <v>42</v>
      </c>
      <c r="C148" s="3" t="s">
        <v>188</v>
      </c>
      <c r="D148" s="4">
        <v>44622</v>
      </c>
      <c r="E148" s="3"/>
      <c r="F148" s="3" t="s">
        <v>29</v>
      </c>
      <c r="G148" s="3" t="s">
        <v>75</v>
      </c>
      <c r="H148" s="3">
        <v>86</v>
      </c>
      <c r="I148" s="3">
        <v>20</v>
      </c>
      <c r="J148" s="3">
        <v>2</v>
      </c>
      <c r="K148" s="3">
        <v>1</v>
      </c>
      <c r="L148" s="5">
        <v>4985</v>
      </c>
      <c r="M148" s="3" t="s">
        <v>167</v>
      </c>
      <c r="N148" s="3">
        <v>3.8</v>
      </c>
      <c r="O148" s="6" t="str">
        <f t="shared" si="4"/>
        <v/>
      </c>
      <c r="P148" s="5">
        <f t="shared" si="5"/>
        <v>4985</v>
      </c>
    </row>
    <row r="149" spans="1:16" x14ac:dyDescent="0.35">
      <c r="A149" s="3" t="s">
        <v>269</v>
      </c>
      <c r="B149" s="3" t="s">
        <v>27</v>
      </c>
      <c r="C149" s="3" t="s">
        <v>176</v>
      </c>
      <c r="D149" s="4">
        <v>45346</v>
      </c>
      <c r="E149" s="3"/>
      <c r="F149" s="3" t="s">
        <v>29</v>
      </c>
      <c r="G149" s="3" t="s">
        <v>39</v>
      </c>
      <c r="H149" s="3">
        <v>107</v>
      </c>
      <c r="I149" s="3">
        <v>14</v>
      </c>
      <c r="J149" s="3">
        <v>1</v>
      </c>
      <c r="K149" s="3">
        <v>0</v>
      </c>
      <c r="L149" s="5">
        <v>1840</v>
      </c>
      <c r="M149" s="3" t="s">
        <v>154</v>
      </c>
      <c r="N149" s="3">
        <v>3</v>
      </c>
      <c r="O149" s="6" t="str">
        <f t="shared" si="4"/>
        <v/>
      </c>
      <c r="P149" s="5" t="str">
        <f t="shared" si="5"/>
        <v/>
      </c>
    </row>
    <row r="150" spans="1:16" x14ac:dyDescent="0.35">
      <c r="A150" s="3" t="s">
        <v>270</v>
      </c>
      <c r="B150" s="3" t="s">
        <v>82</v>
      </c>
      <c r="C150" s="3" t="s">
        <v>118</v>
      </c>
      <c r="D150" s="4">
        <v>45327</v>
      </c>
      <c r="E150" s="3"/>
      <c r="F150" s="3" t="s">
        <v>29</v>
      </c>
      <c r="G150" s="3" t="s">
        <v>35</v>
      </c>
      <c r="H150" s="3">
        <v>115</v>
      </c>
      <c r="I150" s="3">
        <v>3</v>
      </c>
      <c r="J150" s="3">
        <v>1</v>
      </c>
      <c r="K150" s="3">
        <v>0</v>
      </c>
      <c r="L150" s="5">
        <v>858</v>
      </c>
      <c r="M150" s="3" t="s">
        <v>184</v>
      </c>
      <c r="N150" s="3">
        <v>4.8</v>
      </c>
      <c r="O150" s="6" t="str">
        <f t="shared" si="4"/>
        <v/>
      </c>
      <c r="P150" s="5" t="str">
        <f t="shared" si="5"/>
        <v/>
      </c>
    </row>
    <row r="151" spans="1:16" x14ac:dyDescent="0.35">
      <c r="A151" s="3" t="s">
        <v>271</v>
      </c>
      <c r="B151" s="3" t="s">
        <v>33</v>
      </c>
      <c r="C151" s="3" t="s">
        <v>62</v>
      </c>
      <c r="D151" s="4">
        <v>44487</v>
      </c>
      <c r="E151" s="4">
        <v>44510</v>
      </c>
      <c r="F151" s="3" t="s">
        <v>19</v>
      </c>
      <c r="G151" s="3" t="s">
        <v>35</v>
      </c>
      <c r="H151" s="3">
        <v>13</v>
      </c>
      <c r="I151" s="3">
        <v>7</v>
      </c>
      <c r="J151" s="3">
        <v>2</v>
      </c>
      <c r="K151" s="3">
        <v>1</v>
      </c>
      <c r="L151" s="5">
        <v>1016</v>
      </c>
      <c r="M151" s="3" t="s">
        <v>36</v>
      </c>
      <c r="N151" s="3">
        <v>4.0999999999999996</v>
      </c>
      <c r="O151" s="6">
        <f t="shared" si="4"/>
        <v>23</v>
      </c>
      <c r="P151" s="5">
        <f t="shared" si="5"/>
        <v>1016</v>
      </c>
    </row>
    <row r="152" spans="1:16" x14ac:dyDescent="0.35">
      <c r="A152" s="3" t="s">
        <v>272</v>
      </c>
      <c r="B152" s="3" t="s">
        <v>27</v>
      </c>
      <c r="C152" s="3" t="s">
        <v>28</v>
      </c>
      <c r="D152" s="4">
        <v>43985</v>
      </c>
      <c r="E152" s="4">
        <v>44011</v>
      </c>
      <c r="F152" s="3" t="s">
        <v>19</v>
      </c>
      <c r="G152" s="3" t="s">
        <v>35</v>
      </c>
      <c r="H152" s="3">
        <v>102</v>
      </c>
      <c r="I152" s="3">
        <v>9</v>
      </c>
      <c r="J152" s="3">
        <v>1</v>
      </c>
      <c r="K152" s="3">
        <v>1</v>
      </c>
      <c r="L152" s="5">
        <v>998</v>
      </c>
      <c r="M152" s="3" t="s">
        <v>154</v>
      </c>
      <c r="N152" s="3">
        <v>4.4000000000000004</v>
      </c>
      <c r="O152" s="6">
        <f t="shared" si="4"/>
        <v>26</v>
      </c>
      <c r="P152" s="5">
        <f t="shared" si="5"/>
        <v>998</v>
      </c>
    </row>
    <row r="153" spans="1:16" x14ac:dyDescent="0.35">
      <c r="A153" s="3" t="s">
        <v>273</v>
      </c>
      <c r="B153" s="3" t="s">
        <v>33</v>
      </c>
      <c r="C153" s="3" t="s">
        <v>34</v>
      </c>
      <c r="D153" s="4">
        <v>45679</v>
      </c>
      <c r="E153" s="3"/>
      <c r="F153" s="3" t="s">
        <v>29</v>
      </c>
      <c r="G153" s="3" t="s">
        <v>39</v>
      </c>
      <c r="H153" s="3">
        <v>105</v>
      </c>
      <c r="I153" s="3">
        <v>3</v>
      </c>
      <c r="J153" s="3">
        <v>1</v>
      </c>
      <c r="K153" s="3">
        <v>1</v>
      </c>
      <c r="L153" s="5">
        <v>1833</v>
      </c>
      <c r="M153" s="3" t="s">
        <v>192</v>
      </c>
      <c r="N153" s="3">
        <v>5</v>
      </c>
      <c r="O153" s="6" t="str">
        <f t="shared" si="4"/>
        <v/>
      </c>
      <c r="P153" s="5">
        <f t="shared" si="5"/>
        <v>1833</v>
      </c>
    </row>
    <row r="154" spans="1:16" x14ac:dyDescent="0.35">
      <c r="A154" s="3" t="s">
        <v>274</v>
      </c>
      <c r="B154" s="3" t="s">
        <v>82</v>
      </c>
      <c r="C154" s="3" t="s">
        <v>118</v>
      </c>
      <c r="D154" s="4">
        <v>45194</v>
      </c>
      <c r="E154" s="3"/>
      <c r="F154" s="3" t="s">
        <v>29</v>
      </c>
      <c r="G154" s="3" t="s">
        <v>75</v>
      </c>
      <c r="H154" s="3">
        <v>11</v>
      </c>
      <c r="I154" s="3">
        <v>6</v>
      </c>
      <c r="J154" s="3">
        <v>1</v>
      </c>
      <c r="K154" s="3">
        <v>1</v>
      </c>
      <c r="L154" s="5">
        <v>5125</v>
      </c>
      <c r="M154" s="3" t="s">
        <v>275</v>
      </c>
      <c r="N154" s="3">
        <v>4</v>
      </c>
      <c r="O154" s="6" t="str">
        <f t="shared" si="4"/>
        <v/>
      </c>
      <c r="P154" s="5">
        <f t="shared" si="5"/>
        <v>5125</v>
      </c>
    </row>
    <row r="155" spans="1:16" x14ac:dyDescent="0.35">
      <c r="A155" s="3" t="s">
        <v>276</v>
      </c>
      <c r="B155" s="3" t="s">
        <v>27</v>
      </c>
      <c r="C155" s="3" t="s">
        <v>28</v>
      </c>
      <c r="D155" s="4">
        <v>44464</v>
      </c>
      <c r="E155" s="4">
        <v>44493</v>
      </c>
      <c r="F155" s="3" t="s">
        <v>19</v>
      </c>
      <c r="G155" s="3" t="s">
        <v>75</v>
      </c>
      <c r="H155" s="3">
        <v>55</v>
      </c>
      <c r="I155" s="3">
        <v>7</v>
      </c>
      <c r="J155" s="3">
        <v>1</v>
      </c>
      <c r="K155" s="3">
        <v>1</v>
      </c>
      <c r="L155" s="5">
        <v>4075</v>
      </c>
      <c r="M155" s="3" t="s">
        <v>40</v>
      </c>
      <c r="N155" s="3">
        <v>4</v>
      </c>
      <c r="O155" s="6">
        <f t="shared" si="4"/>
        <v>29</v>
      </c>
      <c r="P155" s="5">
        <f t="shared" si="5"/>
        <v>4075</v>
      </c>
    </row>
    <row r="156" spans="1:16" x14ac:dyDescent="0.35">
      <c r="A156" s="3" t="s">
        <v>277</v>
      </c>
      <c r="B156" s="3" t="s">
        <v>17</v>
      </c>
      <c r="C156" s="3" t="s">
        <v>78</v>
      </c>
      <c r="D156" s="4">
        <v>45494</v>
      </c>
      <c r="E156" s="4">
        <v>45551</v>
      </c>
      <c r="F156" s="3" t="s">
        <v>19</v>
      </c>
      <c r="G156" s="3" t="s">
        <v>20</v>
      </c>
      <c r="H156" s="3">
        <v>21</v>
      </c>
      <c r="I156" s="3">
        <v>3</v>
      </c>
      <c r="J156" s="3">
        <v>1</v>
      </c>
      <c r="K156" s="3">
        <v>1</v>
      </c>
      <c r="L156" s="5">
        <v>2613</v>
      </c>
      <c r="M156" s="3" t="s">
        <v>90</v>
      </c>
      <c r="N156" s="3">
        <v>3.2</v>
      </c>
      <c r="O156" s="6">
        <f t="shared" si="4"/>
        <v>57</v>
      </c>
      <c r="P156" s="5">
        <f t="shared" si="5"/>
        <v>2613</v>
      </c>
    </row>
    <row r="157" spans="1:16" x14ac:dyDescent="0.35">
      <c r="A157" s="3" t="s">
        <v>278</v>
      </c>
      <c r="B157" s="3" t="s">
        <v>65</v>
      </c>
      <c r="C157" s="3" t="s">
        <v>110</v>
      </c>
      <c r="D157" s="4">
        <v>46142</v>
      </c>
      <c r="E157" s="4">
        <v>46215</v>
      </c>
      <c r="F157" s="3" t="s">
        <v>19</v>
      </c>
      <c r="G157" s="3" t="s">
        <v>20</v>
      </c>
      <c r="H157" s="3">
        <v>16</v>
      </c>
      <c r="I157" s="3">
        <v>10</v>
      </c>
      <c r="J157" s="3">
        <v>1</v>
      </c>
      <c r="K157" s="3">
        <v>1</v>
      </c>
      <c r="L157" s="5">
        <v>2787</v>
      </c>
      <c r="M157" s="3" t="s">
        <v>67</v>
      </c>
      <c r="N157" s="3">
        <v>4.5999999999999996</v>
      </c>
      <c r="O157" s="6">
        <f t="shared" si="4"/>
        <v>73</v>
      </c>
      <c r="P157" s="5">
        <f t="shared" si="5"/>
        <v>2787</v>
      </c>
    </row>
    <row r="158" spans="1:16" x14ac:dyDescent="0.35">
      <c r="A158" s="3" t="s">
        <v>279</v>
      </c>
      <c r="B158" s="3" t="s">
        <v>48</v>
      </c>
      <c r="C158" s="3" t="s">
        <v>134</v>
      </c>
      <c r="D158" s="4">
        <v>46208</v>
      </c>
      <c r="E158" s="3"/>
      <c r="F158" s="3" t="s">
        <v>29</v>
      </c>
      <c r="G158" s="3" t="s">
        <v>39</v>
      </c>
      <c r="H158" s="3">
        <v>45</v>
      </c>
      <c r="I158" s="3">
        <v>15</v>
      </c>
      <c r="J158" s="3">
        <v>1</v>
      </c>
      <c r="K158" s="3">
        <v>0</v>
      </c>
      <c r="L158" s="5">
        <v>1277</v>
      </c>
      <c r="M158" s="3" t="s">
        <v>250</v>
      </c>
      <c r="N158" s="3">
        <v>4.2</v>
      </c>
      <c r="O158" s="6" t="str">
        <f t="shared" si="4"/>
        <v/>
      </c>
      <c r="P158" s="5" t="str">
        <f t="shared" si="5"/>
        <v/>
      </c>
    </row>
    <row r="159" spans="1:16" x14ac:dyDescent="0.35">
      <c r="A159" s="3" t="s">
        <v>280</v>
      </c>
      <c r="B159" s="3" t="s">
        <v>52</v>
      </c>
      <c r="C159" s="3" t="s">
        <v>53</v>
      </c>
      <c r="D159" s="4">
        <v>44339</v>
      </c>
      <c r="E159" s="3"/>
      <c r="F159" s="3" t="s">
        <v>29</v>
      </c>
      <c r="G159" s="3" t="s">
        <v>20</v>
      </c>
      <c r="H159" s="3">
        <v>51</v>
      </c>
      <c r="I159" s="3">
        <v>16</v>
      </c>
      <c r="J159" s="3">
        <v>0</v>
      </c>
      <c r="K159" s="3">
        <v>0</v>
      </c>
      <c r="L159" s="5">
        <v>2349</v>
      </c>
      <c r="M159" s="3" t="s">
        <v>54</v>
      </c>
      <c r="N159" s="3">
        <v>4.5</v>
      </c>
      <c r="O159" s="6" t="str">
        <f t="shared" si="4"/>
        <v/>
      </c>
      <c r="P159" s="5" t="str">
        <f t="shared" si="5"/>
        <v/>
      </c>
    </row>
    <row r="160" spans="1:16" x14ac:dyDescent="0.35">
      <c r="A160" s="3" t="s">
        <v>281</v>
      </c>
      <c r="B160" s="3" t="s">
        <v>27</v>
      </c>
      <c r="C160" s="3" t="s">
        <v>38</v>
      </c>
      <c r="D160" s="4">
        <v>43935</v>
      </c>
      <c r="E160" s="4">
        <v>43976</v>
      </c>
      <c r="F160" s="3" t="s">
        <v>19</v>
      </c>
      <c r="G160" s="3" t="s">
        <v>39</v>
      </c>
      <c r="H160" s="3">
        <v>14</v>
      </c>
      <c r="I160" s="3">
        <v>4</v>
      </c>
      <c r="J160" s="3">
        <v>1</v>
      </c>
      <c r="K160" s="3">
        <v>1</v>
      </c>
      <c r="L160" s="5">
        <v>1661</v>
      </c>
      <c r="M160" s="3" t="s">
        <v>31</v>
      </c>
      <c r="N160" s="3">
        <v>4.9000000000000004</v>
      </c>
      <c r="O160" s="6">
        <f t="shared" si="4"/>
        <v>41</v>
      </c>
      <c r="P160" s="5">
        <f t="shared" si="5"/>
        <v>1661</v>
      </c>
    </row>
    <row r="161" spans="1:16" x14ac:dyDescent="0.35">
      <c r="A161" s="3" t="s">
        <v>282</v>
      </c>
      <c r="B161" s="3" t="s">
        <v>82</v>
      </c>
      <c r="C161" s="3" t="s">
        <v>138</v>
      </c>
      <c r="D161" s="4">
        <v>44261</v>
      </c>
      <c r="E161" s="4">
        <v>44283</v>
      </c>
      <c r="F161" s="3" t="s">
        <v>19</v>
      </c>
      <c r="G161" s="3" t="s">
        <v>30</v>
      </c>
      <c r="H161" s="3">
        <v>62</v>
      </c>
      <c r="I161" s="3">
        <v>17</v>
      </c>
      <c r="J161" s="3">
        <v>1</v>
      </c>
      <c r="K161" s="3">
        <v>1</v>
      </c>
      <c r="L161" s="5">
        <v>9688</v>
      </c>
      <c r="M161" s="3" t="s">
        <v>119</v>
      </c>
      <c r="N161" s="3">
        <v>2.6</v>
      </c>
      <c r="O161" s="6">
        <f t="shared" si="4"/>
        <v>22</v>
      </c>
      <c r="P161" s="5">
        <f t="shared" si="5"/>
        <v>9688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DEPT</vt:lpstr>
      <vt:lpstr>REQ STS</vt:lpstr>
      <vt:lpstr>SOURCE</vt:lpstr>
      <vt:lpstr>RC</vt:lpstr>
      <vt:lpstr>Sheet7</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Vidhya S</dc:creator>
  <cp:lastModifiedBy>Vidhya S</cp:lastModifiedBy>
  <dcterms:created xsi:type="dcterms:W3CDTF">2026-10-18T09:00:17Z</dcterms:created>
  <dcterms:modified xsi:type="dcterms:W3CDTF">2026-10-29T05:08:50Z</dcterms:modified>
</cp:coreProperties>
</file>